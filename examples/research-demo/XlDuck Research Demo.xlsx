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james\github.com\jamtho\xlduck\examples\research-demo\"/>
    </mc:Choice>
  </mc:AlternateContent>
  <xr:revisionPtr revIDLastSave="0" documentId="8_{32DAE971-4E27-4AC5-A075-5C855607C2B5}" xr6:coauthVersionLast="47" xr6:coauthVersionMax="47" xr10:uidLastSave="{00000000-0000-0000-0000-000000000000}"/>
  <bookViews>
    <workbookView xWindow="-96" yWindow="-96" windowWidth="13080" windowHeight="14064" xr2:uid="{00000000-000D-0000-FFFF-FFFF00000000}"/>
  </bookViews>
  <sheets>
    <sheet name="Research" sheetId="1" r:id="rId1"/>
    <sheet name="Observ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 l="1" a="1"/>
  <c r="F8" i="1" a="1"/>
  <c r="E15" i="1" a="1"/>
  <c r="B29" i="1" a="1"/>
  <c r="C12" i="1" a="1"/>
  <c r="F7" i="1" a="1"/>
  <c r="C21" i="1" a="1"/>
  <c r="E22" i="1" a="1"/>
  <c r="C20" i="1" a="1"/>
  <c r="C19" i="1" a="1"/>
  <c r="C18" i="1" a="1"/>
  <c r="C17" i="1" a="1"/>
  <c r="C16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<sst xmlns="http://schemas.openxmlformats.org/spreadsheetml/2006/main" count="211" uniqueCount="130">
  <si>
    <t>XlDuck research playground</t>
  </si>
  <si>
    <t>First day (1–28)</t>
  </si>
  <si>
    <t>Retained observations</t>
  </si>
  <si>
    <t>Site</t>
  </si>
  <si>
    <t>All</t>
  </si>
  <si>
    <t>Mean response (a.u.)</t>
  </si>
  <si>
    <t>Minimum response (a.u.)</t>
  </si>
  <si>
    <t>Blank mean = no matching observations.</t>
  </si>
  <si>
    <t>Daily mean response</t>
  </si>
  <si>
    <t>Select C11, then press Ctrl+Shift+P.</t>
  </si>
  <si>
    <t>Compare sites</t>
  </si>
  <si>
    <t>Keep a chart selected while editing inputs.</t>
  </si>
  <si>
    <t>The query graph</t>
  </si>
  <si>
    <t>Current site summary</t>
  </si>
  <si>
    <t>Step</t>
  </si>
  <si>
    <t>Result handle</t>
  </si>
  <si>
    <t>1. Capture observations</t>
  </si>
  <si>
    <t>2. Filter day and site</t>
  </si>
  <si>
    <t>3. Define response recipe</t>
  </si>
  <si>
    <t>4. Materialise shared data</t>
  </si>
  <si>
    <t>5. Summarise by site</t>
  </si>
  <si>
    <t>6. Summarise by day</t>
  </si>
  <si>
    <t>Filtered data schema</t>
  </si>
  <si>
    <t>Select a handle to inspect its data or edit its formula.</t>
  </si>
  <si>
    <t>C18 is a recipe. C19 runs it once for the branches.</t>
  </si>
  <si>
    <t>First eight retained observations</t>
  </si>
  <si>
    <t>Try these edits</t>
  </si>
  <si>
    <t>Change C7 from 8 to 15, or choose a site in C8. The summary and selected chart update.</t>
  </si>
  <si>
    <t>Raise C9 to 60. Compare the retained sample count and mean response.</t>
  </si>
  <si>
    <t>Edit a response or accepted flag on Observations. The capture and downstream graph update.</t>
  </si>
  <si>
    <t>F9 and unchanged F2+Enter reuse results. Restart workbook creates a fresh session.</t>
  </si>
  <si>
    <t>Ask your Excel agent: compare site variability and add a point chart using this graph.</t>
  </si>
  <si>
    <t>Use Retry failed after fixing an error. #N/A can appear briefly while a query is running.</t>
  </si>
  <si>
    <t>Synthetic observations</t>
  </si>
  <si>
    <t>Source: generated demo data for three fictional sites over 28 days.</t>
  </si>
  <si>
    <t>Response is in arbitrary units. Only rows marked accepted enter the analysis.</t>
  </si>
  <si>
    <t>sample_id</t>
  </si>
  <si>
    <t>day</t>
  </si>
  <si>
    <t>site</t>
  </si>
  <si>
    <t>response</t>
  </si>
  <si>
    <t>accepted</t>
  </si>
  <si>
    <t>0001</t>
  </si>
  <si>
    <t>Estuary</t>
  </si>
  <si>
    <t>0002</t>
  </si>
  <si>
    <t>Meadow</t>
  </si>
  <si>
    <t>0003</t>
  </si>
  <si>
    <t>Ridge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</si>
  <si>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</si>
  <si>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</si>
  <si>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</si>
  <si>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</si>
  <si>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</si>
  <si>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</si>
  <si>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</si>
  <si>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</si>
  <si>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</si>
  <si>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</si>
  <si>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</si>
  <si>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</si>
  <si>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</si>
  <si>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</si>
  <si>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</si>
  <si>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</si>
  <si>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</si>
  <si>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</si>
  <si>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</si>
  <si>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</si>
  <si>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</si>
  <si>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</si>
  <si>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</si>
  <si>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</si>
  <si>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</si>
  <si>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</si>
  <si>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</si>
  <si>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</si>
  <si>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</si>
  <si>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</si>
  <si>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</si>
  <si>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</si>
  <si>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</si>
  <si>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</si>
  <si>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</si>
  <si>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</si>
  <si>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</si>
  <si>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</si>
  <si>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</si>
  <si>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</si>
  <si>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</si>
  <si>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</si>
  <si>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</si>
  <si>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</si>
  <si>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</si>
  <si>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</si>
  <si>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</si>
  <si>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</si>
  <si>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</si>
  <si>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</si>
  <si>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</si>
  <si>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</si>
  <si>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</si>
  <si>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</si>
  <si>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</si>
  <si>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</si>
  <si>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</si>
  <si>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</si>
  <si>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</si>
  <si>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</si>
  <si>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</si>
  <si>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</si>
  <si>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</si>
  <si>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</si>
  <si>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</si>
  <si>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</si>
  <si>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</si>
  <si>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</si>
  <si>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</si>
  <si>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</si>
  <si>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</si>
  <si>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</si>
  <si>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</si>
  <si>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</si>
  <si>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</si>
  <si>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</si>
  <si>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</si>
  <si>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</si>
  <si>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</si>
  <si>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</si>
  <si>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</si>
  <si>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Edit the amber inputs. The query graph updates automatically.</t>
  </si>
  <si>
    <t>Select a handle, then press Ctrl+Shift+P to inspect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</si>
</sst>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>
    <font>
      <sz val="11"/>
      <name val="Carlito"/>
    </font>
    <font>
      <sz val="11"/>
      <color rgb="FF243247"/>
      <name val="Arial"/>
    </font>
    <font>
      <b/>
      <sz val="17"/>
      <color rgb="FF28466B"/>
      <name val="Arial"/>
    </font>
    <font>
      <sz val="11"/>
      <color rgb="FF5F6B7A"/>
      <name val="Arial"/>
    </font>
    <font>
      <b/>
      <sz val="11"/>
      <color rgb="FF243247"/>
      <name val="Arial"/>
    </font>
    <font>
      <i/>
      <sz val="10"/>
      <color rgb="FF5F6B7A"/>
      <name val="Arial"/>
    </font>
    <font>
      <b/>
      <sz val="11"/>
      <color rgb="FF28466B"/>
      <name val="Arial"/>
    </font>
    <font>
      <sz val="11"/>
      <color rgb="FF28466B"/>
      <name val="Arial"/>
    </font>
    <font>
      <b/>
      <sz val="11"/>
      <color rgb="FFFFFFFF"/>
      <name val="Arial"/>
    </font>
    <font>
      <sz val="10"/>
      <color rgb="FF5F6B7A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0B3"/>
      </patternFill>
    </fill>
    <fill>
      <patternFill patternType="solid">
        <fgColor rgb="FFEDF2F7"/>
      </patternFill>
    </fill>
    <fill>
      <patternFill patternType="solid">
        <fgColor rgb="FFEEE9F8"/>
      </patternFill>
    </fill>
    <fill>
      <patternFill patternType="solid">
        <fgColor rgb="FF28466B"/>
      </patternFill>
    </fill>
    <fill>
      <patternFill patternType="solid">
        <fgColor rgb="FFFFF8DE"/>
      </patternFill>
    </fill>
  </fills>
  <borders count="2">
    <border>
      <left/>
      <right/>
      <top/>
      <bottom/>
      <diagonal/>
    </border>
    <border>
      <left/>
      <right/>
      <top/>
      <bottom style="thin">
        <color rgb="FFCAD4E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1" fontId="4" fillId="2" borderId="0" xfId="0" applyNumberFormat="1" applyFont="1" applyFill="1" applyAlignment="1">
      <alignment vertical="center"/>
    </xf>
    <xf numFmtId="164" fontId="4" fillId="2" borderId="0" xfId="0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3" fontId="4" fillId="0" borderId="0" xfId="0" applyNumberFormat="1" applyFont="1" applyAlignment="1">
      <alignment vertical="center"/>
    </xf>
    <xf numFmtId="2" fontId="4" fillId="0" borderId="0" xfId="0" applyNumberFormat="1" applyFont="1" applyAlignment="1">
      <alignment vertical="center"/>
    </xf>
    <xf numFmtId="0" fontId="6" fillId="3" borderId="0" xfId="0" applyFont="1" applyFill="1" applyAlignment="1">
      <alignment vertical="center"/>
    </xf>
    <xf numFmtId="0" fontId="8" fillId="5" borderId="0" xfId="0" applyFont="1" applyFill="1" applyAlignment="1">
      <alignment horizontal="center" vertical="center"/>
    </xf>
    <xf numFmtId="3" fontId="1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1" fontId="1" fillId="0" borderId="0" xfId="0" applyNumberFormat="1" applyFont="1" applyAlignment="1">
      <alignment vertical="center"/>
    </xf>
    <xf numFmtId="2" fontId="1" fillId="6" borderId="0" xfId="0" applyNumberFormat="1" applyFont="1" applyFill="1" applyAlignment="1">
      <alignment vertical="center"/>
    </xf>
    <xf numFmtId="0" fontId="1" fillId="6" borderId="0" xfId="0" applyFont="1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3" borderId="0" xfId="0" applyNumberFormat="1" applyFont="1" applyFill="1" applyAlignment="1">
      <alignment vertical="center"/>
    </xf>
    <xf numFmtId="0" fontId="7" fillId="3" borderId="0" xfId="0" applyNumberFormat="1" applyFont="1" applyFill="1" applyAlignment="1">
      <alignment vertical="center"/>
    </xf>
    <xf numFmtId="0" fontId="7" fillId="4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moObservations" displayName="DemoObservations" ref="B6:F90" totalsRowShown="0">
  <tableColumns count="5">
    <tableColumn id="1" xr3:uid="{00000000-0010-0000-0000-000001000000}" name="sample_id"/>
    <tableColumn id="2" xr3:uid="{00000000-0010-0000-0000-000002000000}" name="day"/>
    <tableColumn id="3" xr3:uid="{00000000-0010-0000-0000-000003000000}" name="site"/>
    <tableColumn id="4" xr3:uid="{00000000-0010-0000-0000-000004000000}" name="response"/>
    <tableColumn id="5" xr3:uid="{00000000-0010-0000-0000-000005000000}" name="accep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8466B"/>
  </sheetPr>
  <dimension ref="A1:H47"/>
  <sheetViews>
    <sheetView showGridLines="0" tabSelected="1" zoomScale="80" zoomScaleNormal="80" workbookViewId="0">
      <selection activeCell="C11" sqref="C11"/>
    </sheetView>
  </sheetViews>
  <sheetFormatPr defaultRowHeight="13.8"/>
  <cols>
    <col min="1" max="1" width="3" customWidth="1"/>
    <col min="2" max="2" width="25" customWidth="1"/>
    <col min="3" max="3" width="32.6171875" customWidth="1"/>
    <col min="4" max="4" width="3.6171875" customWidth="1"/>
    <col min="5" max="5" width="25" customWidth="1"/>
    <col min="6" max="6" width="17" customWidth="1"/>
    <col min="7" max="7" width="20" customWidth="1"/>
    <col min="8" max="8" width="3" customWidth="1"/>
  </cols>
  <sheetData>
    <row r="1" spans="1:8" ht="21" customHeight="1">
      <c r="A1" s="1"/>
      <c r="B1" s="1"/>
      <c r="C1" s="1"/>
      <c r="D1" s="1"/>
      <c r="E1" s="1"/>
      <c r="F1" s="1"/>
      <c r="G1" s="1"/>
      <c r="H1" s="1"/>
    </row>
    <row r="2" spans="1:8" ht="30" customHeight="1">
      <c r="A2" s="1"/>
      <c r="B2" s="2" t="s">
        <v>0</v>
      </c>
      <c r="C2" s="2"/>
      <c r="D2" s="2"/>
      <c r="E2" s="2"/>
      <c r="F2" s="2"/>
      <c r="G2" s="2"/>
      <c r="H2" s="1"/>
    </row>
    <row r="3" spans="1:8" ht="8.0500000000000007" customHeight="1">
      <c r="A3" s="1"/>
      <c r="B3" s="3"/>
      <c r="C3" s="3"/>
      <c r="D3" s="3"/>
      <c r="E3" s="3"/>
      <c r="F3" s="3"/>
      <c r="G3" s="3"/>
      <c r="H3" s="1"/>
    </row>
    <row r="4" spans="1:8" ht="21" customHeight="1">
      <c r="A4" s="1"/>
      <c r="B4" s="4" t="s">
        <v>128</v>
      </c>
      <c r="C4" s="4"/>
      <c r="D4" s="4"/>
      <c r="E4" s="4"/>
      <c r="F4" s="4"/>
      <c r="G4" s="4"/>
      <c r="H4" s="1"/>
    </row>
    <row r="5" spans="1:8" ht="21" customHeight="1">
      <c r="A5" s="1"/>
      <c r="B5" s="4" t="s">
        <v>129</v>
      </c>
      <c r="C5" s="4"/>
      <c r="D5" s="4"/>
      <c r="E5" s="4"/>
      <c r="F5" s="4"/>
      <c r="G5" s="4"/>
      <c r="H5" s="1"/>
    </row>
    <row r="6" spans="1:8" ht="21" customHeight="1">
      <c r="A6" s="1"/>
      <c r="B6" s="1"/>
      <c r="C6" s="1"/>
      <c r="D6" s="1"/>
      <c r="E6" s="1"/>
      <c r="F6" s="1"/>
      <c r="G6" s="1"/>
      <c r="H6" s="1"/>
    </row>
    <row r="7" spans="1:8" ht="21" customHeight="1">
      <c r="A7" s="1"/>
      <c r="B7" s="1" t="s">
        <v>1</v>
      </c>
      <c r="C7" s="6">
        <v>8</v>
      </c>
      <c r="D7" s="1"/>
      <c r="E7" s="1" t="s">
        <v>2</v>
      </c>
      <c r="F7" s="10" cm="1">
        <f t="array" ref="F7">_xll.DuckInspect(C19,"rows")</f>
        <v>58</v>
      </c>
      <c r="G7" s="1"/>
      <c r="H7" s="1"/>
    </row>
    <row r="8" spans="1:8" ht="21" customHeight="1">
      <c r="A8" s="1"/>
      <c r="B8" s="1" t="s">
        <v>3</v>
      </c>
      <c r="C8" s="5" t="s">
        <v>4</v>
      </c>
      <c r="D8" s="1"/>
      <c r="E8" s="1" t="s">
        <v>5</v>
      </c>
      <c r="F8" s="11" cm="1">
        <f t="array" ref="F8">_xll.DuckQueryOutScalar("SELECT avg(response) FROM ?",C19)</f>
        <v>59.432241379310334</v>
      </c>
      <c r="G8" s="1"/>
      <c r="H8" s="1"/>
    </row>
    <row r="9" spans="1:8" ht="21" customHeight="1">
      <c r="A9" s="1"/>
      <c r="B9" s="1" t="s">
        <v>6</v>
      </c>
      <c r="C9" s="7">
        <v>35</v>
      </c>
      <c r="D9" s="1"/>
      <c r="E9" s="8" t="s">
        <v>7</v>
      </c>
      <c r="F9" s="8"/>
      <c r="G9" s="8"/>
      <c r="H9" s="1"/>
    </row>
    <row r="10" spans="1:8" ht="21" customHeight="1">
      <c r="A10" s="1"/>
      <c r="B10" s="1"/>
      <c r="C10" s="1"/>
      <c r="D10" s="1"/>
      <c r="E10" s="1"/>
      <c r="F10" s="1"/>
      <c r="G10" s="1"/>
      <c r="H10" s="1"/>
    </row>
    <row r="11" spans="1:8" ht="21" customHeight="1">
      <c r="A11" s="1"/>
      <c r="B11" s="1" t="s">
        <v>8</v>
      </c>
      <c r="C11" s="21" t="str" cm="1">
        <f t="array" ref="C11">_xll.DuckPlot(C21,"line","x","day","y","mean_response","title","Daily mean response (a.u.)")</f>
        <v>xlduck://p/11::68oHA_8kT4k</v>
      </c>
      <c r="D11" s="1"/>
      <c r="E11" s="4" t="s">
        <v>9</v>
      </c>
      <c r="F11" s="4"/>
      <c r="G11" s="4"/>
      <c r="H11" s="1"/>
    </row>
    <row r="12" spans="1:8" ht="21" customHeight="1">
      <c r="A12" s="1"/>
      <c r="B12" s="1" t="s">
        <v>10</v>
      </c>
      <c r="C12" s="21" t="str" cm="1">
        <f t="array" ref="C12">_xll.DuckPlot(C20,"bar","x","site","y","mean_response","title","Mean response by site (a.u.)")</f>
        <v>xlduck://p/10::68oHA_8kT4k</v>
      </c>
      <c r="D12" s="1"/>
      <c r="E12" s="4" t="s">
        <v>11</v>
      </c>
      <c r="F12" s="4"/>
      <c r="G12" s="4"/>
      <c r="H12" s="1"/>
    </row>
    <row r="13" spans="1:8" ht="21" customHeight="1">
      <c r="A13" s="1"/>
      <c r="B13" s="1"/>
      <c r="C13" s="1"/>
      <c r="D13" s="1"/>
      <c r="E13" s="1"/>
      <c r="F13" s="1"/>
      <c r="G13" s="1"/>
      <c r="H13" s="1"/>
    </row>
    <row r="14" spans="1:8" ht="21" customHeight="1">
      <c r="A14" s="1"/>
      <c r="B14" s="12" t="s">
        <v>12</v>
      </c>
      <c r="C14" s="12"/>
      <c r="D14" s="1"/>
      <c r="E14" s="12" t="s">
        <v>13</v>
      </c>
      <c r="F14" s="12"/>
      <c r="G14" s="12"/>
      <c r="H14" s="1"/>
    </row>
    <row r="15" spans="1:8" ht="21" customHeight="1">
      <c r="A15" s="1"/>
      <c r="B15" s="9" t="s">
        <v>14</v>
      </c>
      <c r="C15" s="9" t="s">
        <v>15</v>
      </c>
      <c r="D15" s="1"/>
      <c r="E15" s="13" t="str" cm="1">
        <f t="array" ref="E15:G18">_xll.DuckOut(C20)</f>
        <v>site</v>
      </c>
      <c r="F15" s="13" t="str">
        <v>samples</v>
      </c>
      <c r="G15" s="13" t="str">
        <v>mean_response</v>
      </c>
      <c r="H15" s="1"/>
    </row>
    <row r="16" spans="1:8" ht="24" customHeight="1">
      <c r="A16" s="1"/>
      <c r="B16" s="1" t="s">
        <v>16</v>
      </c>
      <c r="C16" s="22" t="str" cm="1">
        <f t="array" ref="C16">_xll.DuckCapture(DemoObservations[#All])</f>
        <v>xlduck://t/2::68oHA_8kT4k</v>
      </c>
      <c r="D16" s="1"/>
      <c r="E16" s="1" t="str">
        <v>Estuary</v>
      </c>
      <c r="F16" s="14">
        <v>19</v>
      </c>
      <c r="G16" s="15">
        <v>50.138421052631585</v>
      </c>
      <c r="H16" s="1"/>
    </row>
    <row r="17" spans="1:8" ht="24" customHeight="1">
      <c r="A17" s="1"/>
      <c r="B17" s="1" t="s">
        <v>17</v>
      </c>
      <c r="C17" s="22" t="str" cm="1">
        <f t="array" ref="C17">_xll.DuckQuery("SELECT * FROM ? WHERE accepted AND day &gt;= ? AND (? = 'All' OR site = ?) ORDER BY day, site",C16,$C$7,$C$8,$C$8)</f>
        <v>xlduck://t/3::68oHA_8kT4k</v>
      </c>
      <c r="D17" s="1"/>
      <c r="E17" s="1" t="str">
        <v>Meadow</v>
      </c>
      <c r="F17" s="14">
        <v>19</v>
      </c>
      <c r="G17" s="15">
        <v>59.255263157894731</v>
      </c>
      <c r="H17" s="1"/>
    </row>
    <row r="18" spans="1:8" ht="24" customHeight="1">
      <c r="A18" s="1"/>
      <c r="B18" s="1" t="s">
        <v>18</v>
      </c>
      <c r="C18" s="23" t="str" cm="1">
        <f t="array" ref="C18">_xll.DuckFrag("SELECT * FROM ? WHERE response &gt;= ?",C17,$C$9)</f>
        <v>xlduck://f/4::68oHA_8kT4k</v>
      </c>
      <c r="D18" s="1"/>
      <c r="E18" s="1" t="str">
        <v>Ridge</v>
      </c>
      <c r="F18" s="14">
        <v>20</v>
      </c>
      <c r="G18" s="15">
        <v>68.429500000000004</v>
      </c>
      <c r="H18" s="1"/>
    </row>
    <row r="19" spans="1:8" ht="24" customHeight="1">
      <c r="A19" s="1"/>
      <c r="B19" s="1" t="s">
        <v>19</v>
      </c>
      <c r="C19" s="22" t="str" cm="1">
        <f t="array" ref="C19">_xll.DuckQuery("SELECT * FROM ?",C18)</f>
        <v>xlduck://t/5::68oHA_8kT4k</v>
      </c>
      <c r="D19" s="1"/>
      <c r="E19" s="1"/>
      <c r="F19" s="1"/>
      <c r="G19" s="1"/>
      <c r="H19" s="1"/>
    </row>
    <row r="20" spans="1:8" ht="24" customHeight="1">
      <c r="A20" s="1"/>
      <c r="B20" s="1" t="s">
        <v>20</v>
      </c>
      <c r="C20" s="22" t="str" cm="1">
        <f t="array" ref="C20">_xll.DuckQuery("SELECT site, count(*) AS samples, avg(response) AS mean_response FROM ? GROUP BY site ORDER BY site",C19)</f>
        <v>xlduck://t/6::68oHA_8kT4k</v>
      </c>
      <c r="D20" s="1"/>
      <c r="E20" s="1"/>
      <c r="F20" s="1"/>
      <c r="G20" s="1"/>
      <c r="H20" s="1"/>
    </row>
    <row r="21" spans="1:8" ht="24" customHeight="1">
      <c r="A21" s="1"/>
      <c r="B21" s="1" t="s">
        <v>21</v>
      </c>
      <c r="C21" s="22" t="str" cm="1">
        <f t="array" ref="C21">_xll.DuckQuery("SELECT day, avg(response) AS mean_response FROM ? GROUP BY day ORDER BY day",C19)</f>
        <v>xlduck://t/7::68oHA_8kT4k</v>
      </c>
      <c r="D21" s="1"/>
      <c r="E21" s="12" t="s">
        <v>22</v>
      </c>
      <c r="F21" s="12"/>
      <c r="G21" s="1"/>
      <c r="H21" s="1"/>
    </row>
    <row r="22" spans="1:8" ht="21" customHeight="1">
      <c r="A22" s="1"/>
      <c r="B22" s="1"/>
      <c r="C22" s="1"/>
      <c r="D22" s="1"/>
      <c r="E22" s="9" t="str" cm="1">
        <f t="array" ref="E22:F27">_xll.DuckInspect(C19,"schema")</f>
        <v>Column</v>
      </c>
      <c r="F22" s="9" t="str">
        <v>Type</v>
      </c>
      <c r="G22" s="1"/>
      <c r="H22" s="1"/>
    </row>
    <row r="23" spans="1:8" ht="21" customHeight="1">
      <c r="A23" s="1"/>
      <c r="B23" s="16" t="s">
        <v>23</v>
      </c>
      <c r="C23" s="16"/>
      <c r="D23" s="16"/>
      <c r="E23" s="16" t="str">
        <v>sample_id</v>
      </c>
      <c r="F23" s="16" t="str">
        <v>VARCHAR</v>
      </c>
      <c r="G23" s="16"/>
      <c r="H23" s="1"/>
    </row>
    <row r="24" spans="1:8" ht="21" customHeight="1">
      <c r="A24" s="1"/>
      <c r="B24" s="16" t="s">
        <v>24</v>
      </c>
      <c r="C24" s="16"/>
      <c r="D24" s="16"/>
      <c r="E24" s="16" t="str">
        <v>day</v>
      </c>
      <c r="F24" s="16" t="str">
        <v>DOUBLE</v>
      </c>
      <c r="G24" s="16"/>
      <c r="H24" s="1"/>
    </row>
    <row r="25" spans="1:8" ht="21" customHeight="1">
      <c r="A25" s="1"/>
      <c r="B25" s="1"/>
      <c r="C25" s="1"/>
      <c r="D25" s="1"/>
      <c r="E25" s="1" t="str">
        <v>site</v>
      </c>
      <c r="F25" s="1" t="str">
        <v>VARCHAR</v>
      </c>
      <c r="G25" s="1"/>
      <c r="H25" s="1"/>
    </row>
    <row r="26" spans="1:8" ht="21" customHeight="1">
      <c r="A26" s="1"/>
      <c r="B26" s="1"/>
      <c r="C26" s="1"/>
      <c r="D26" s="1"/>
      <c r="E26" s="1" t="str">
        <v>response</v>
      </c>
      <c r="F26" s="1" t="str">
        <v>DOUBLE</v>
      </c>
      <c r="G26" s="1"/>
      <c r="H26" s="1"/>
    </row>
    <row r="27" spans="1:8" ht="21" customHeight="1">
      <c r="A27" s="1"/>
      <c r="B27" s="1"/>
      <c r="C27" s="1"/>
      <c r="D27" s="1"/>
      <c r="E27" s="1" t="str">
        <v>accepted</v>
      </c>
      <c r="F27" s="1" t="str">
        <v>BOOLEAN</v>
      </c>
      <c r="G27" s="1"/>
      <c r="H27" s="1"/>
    </row>
    <row r="28" spans="1:8" ht="21" customHeight="1">
      <c r="A28" s="1"/>
      <c r="B28" s="12" t="s">
        <v>25</v>
      </c>
      <c r="C28" s="12"/>
      <c r="D28" s="12"/>
      <c r="E28" s="12"/>
      <c r="F28" s="12"/>
      <c r="G28" s="1"/>
      <c r="H28" s="1"/>
    </row>
    <row r="29" spans="1:8" ht="21" customHeight="1">
      <c r="A29" s="1"/>
      <c r="B29" s="13" t="str" cm="1">
        <f t="array" ref="B29:F37">_xll.DuckQueryOut("SELECT * FROM ? ORDER BY day, site LIMIT 8",C19)</f>
        <v>sample_id</v>
      </c>
      <c r="C29" s="13" t="str">
        <v>day</v>
      </c>
      <c r="D29" s="13" t="str">
        <v>site</v>
      </c>
      <c r="E29" s="13" t="str">
        <v>response</v>
      </c>
      <c r="F29" s="13" t="str">
        <v>accepted</v>
      </c>
      <c r="G29" s="1"/>
      <c r="H29" s="1"/>
    </row>
    <row r="30" spans="1:8" ht="21" customHeight="1">
      <c r="A30" s="1"/>
      <c r="B30" s="17" t="str">
        <v>0022</v>
      </c>
      <c r="C30" s="18">
        <v>8</v>
      </c>
      <c r="D30" s="1" t="str">
        <v>Estuary</v>
      </c>
      <c r="E30" s="15">
        <v>44.22</v>
      </c>
      <c r="F30" s="1" t="b">
        <v>1</v>
      </c>
      <c r="G30" s="1"/>
      <c r="H30" s="1"/>
    </row>
    <row r="31" spans="1:8" ht="21" customHeight="1">
      <c r="A31" s="1"/>
      <c r="B31" s="17" t="str">
        <v>0023</v>
      </c>
      <c r="C31" s="18">
        <v>8</v>
      </c>
      <c r="D31" s="1" t="str">
        <v>Meadow</v>
      </c>
      <c r="E31" s="15">
        <v>50.79</v>
      </c>
      <c r="F31" s="1" t="b">
        <v>1</v>
      </c>
      <c r="G31" s="1"/>
      <c r="H31" s="1"/>
    </row>
    <row r="32" spans="1:8" ht="21" customHeight="1">
      <c r="A32" s="1"/>
      <c r="B32" s="17" t="str">
        <v>0024</v>
      </c>
      <c r="C32" s="18">
        <v>8</v>
      </c>
      <c r="D32" s="1" t="str">
        <v>Ridge</v>
      </c>
      <c r="E32" s="15">
        <v>59.75</v>
      </c>
      <c r="F32" s="1" t="b">
        <v>1</v>
      </c>
      <c r="G32" s="1"/>
      <c r="H32" s="1"/>
    </row>
    <row r="33" spans="1:8" ht="21" customHeight="1">
      <c r="A33" s="1"/>
      <c r="B33" s="17" t="str">
        <v>0025</v>
      </c>
      <c r="C33" s="18">
        <v>9</v>
      </c>
      <c r="D33" s="1" t="str">
        <v>Estuary</v>
      </c>
      <c r="E33" s="15">
        <v>44.12</v>
      </c>
      <c r="F33" s="1" t="b">
        <v>1</v>
      </c>
      <c r="G33" s="1"/>
      <c r="H33" s="1"/>
    </row>
    <row r="34" spans="1:8" ht="21" customHeight="1">
      <c r="A34" s="1"/>
      <c r="B34" s="17" t="str">
        <v>0026</v>
      </c>
      <c r="C34" s="18">
        <v>9</v>
      </c>
      <c r="D34" s="1" t="str">
        <v>Meadow</v>
      </c>
      <c r="E34" s="15">
        <v>51.47</v>
      </c>
      <c r="F34" s="1" t="b">
        <v>1</v>
      </c>
      <c r="G34" s="1"/>
      <c r="H34" s="1"/>
    </row>
    <row r="35" spans="1:8" ht="21" customHeight="1">
      <c r="A35" s="1"/>
      <c r="B35" s="17" t="str">
        <v>0027</v>
      </c>
      <c r="C35" s="18">
        <v>9</v>
      </c>
      <c r="D35" s="1" t="str">
        <v>Ridge</v>
      </c>
      <c r="E35" s="15">
        <v>61.56</v>
      </c>
      <c r="F35" s="1" t="b">
        <v>1</v>
      </c>
      <c r="G35" s="1"/>
      <c r="H35" s="1"/>
    </row>
    <row r="36" spans="1:8" ht="21" customHeight="1">
      <c r="A36" s="1"/>
      <c r="B36" s="17" t="str">
        <v>0028</v>
      </c>
      <c r="C36" s="18">
        <v>10</v>
      </c>
      <c r="D36" s="1" t="str">
        <v>Estuary</v>
      </c>
      <c r="E36" s="15">
        <v>42.23</v>
      </c>
      <c r="F36" s="1" t="b">
        <v>1</v>
      </c>
      <c r="G36" s="1"/>
      <c r="H36" s="1"/>
    </row>
    <row r="37" spans="1:8" ht="21" customHeight="1">
      <c r="A37" s="1"/>
      <c r="B37" s="17" t="str">
        <v>0030</v>
      </c>
      <c r="C37" s="18">
        <v>10</v>
      </c>
      <c r="D37" s="1" t="str">
        <v>Ridge</v>
      </c>
      <c r="E37" s="15">
        <v>61.66</v>
      </c>
      <c r="F37" s="1" t="b">
        <v>1</v>
      </c>
      <c r="G37" s="1"/>
      <c r="H37" s="1"/>
    </row>
    <row r="38" spans="1:8" ht="21" customHeight="1">
      <c r="A38" s="1"/>
      <c r="B38" s="1"/>
      <c r="C38" s="1"/>
      <c r="D38" s="1"/>
      <c r="E38" s="1"/>
      <c r="F38" s="1"/>
      <c r="G38" s="1"/>
      <c r="H38" s="1"/>
    </row>
    <row r="39" spans="1:8" ht="21" customHeight="1">
      <c r="A39" s="1"/>
      <c r="B39" s="12" t="s">
        <v>26</v>
      </c>
      <c r="C39" s="12"/>
      <c r="D39" s="12"/>
      <c r="E39" s="12"/>
      <c r="F39" s="12"/>
      <c r="G39" s="12"/>
      <c r="H39" s="1"/>
    </row>
    <row r="40" spans="1:8" ht="21" customHeight="1">
      <c r="A40" s="1"/>
      <c r="B40" s="1" t="s">
        <v>27</v>
      </c>
      <c r="C40" s="1"/>
      <c r="D40" s="1"/>
      <c r="E40" s="1"/>
      <c r="F40" s="1"/>
      <c r="G40" s="1"/>
      <c r="H40" s="1"/>
    </row>
    <row r="41" spans="1:8" ht="21" customHeight="1">
      <c r="A41" s="1"/>
      <c r="B41" s="1" t="s">
        <v>28</v>
      </c>
      <c r="C41" s="1"/>
      <c r="D41" s="1"/>
      <c r="E41" s="1"/>
      <c r="F41" s="1"/>
      <c r="G41" s="1"/>
      <c r="H41" s="1"/>
    </row>
    <row r="42" spans="1:8" ht="21" customHeight="1">
      <c r="A42" s="1"/>
      <c r="B42" s="1" t="s">
        <v>29</v>
      </c>
      <c r="C42" s="1"/>
      <c r="D42" s="1"/>
      <c r="E42" s="1"/>
      <c r="F42" s="1"/>
      <c r="G42" s="1"/>
      <c r="H42" s="1"/>
    </row>
    <row r="43" spans="1:8" ht="21" customHeight="1">
      <c r="A43" s="1"/>
      <c r="B43" s="1" t="s">
        <v>30</v>
      </c>
      <c r="C43" s="1"/>
      <c r="D43" s="1"/>
      <c r="E43" s="1"/>
      <c r="F43" s="1"/>
      <c r="G43" s="1"/>
      <c r="H43" s="1"/>
    </row>
    <row r="44" spans="1:8" ht="21" customHeight="1">
      <c r="A44" s="1"/>
      <c r="B44" s="1" t="s">
        <v>31</v>
      </c>
      <c r="C44" s="1"/>
      <c r="D44" s="1"/>
      <c r="E44" s="1"/>
      <c r="F44" s="1"/>
      <c r="G44" s="1"/>
      <c r="H44" s="1"/>
    </row>
    <row r="45" spans="1:8" ht="21" customHeight="1">
      <c r="A45" s="1"/>
      <c r="B45" s="1" t="s">
        <v>32</v>
      </c>
      <c r="C45" s="1"/>
      <c r="D45" s="1"/>
      <c r="E45" s="1"/>
      <c r="F45" s="1"/>
      <c r="G45" s="1"/>
      <c r="H45" s="1"/>
    </row>
    <row r="46" spans="1:8" ht="21" customHeight="1">
      <c r="A46" s="1"/>
      <c r="B46" s="1"/>
      <c r="C46" s="1"/>
      <c r="D46" s="1"/>
      <c r="E46" s="1"/>
      <c r="F46" s="1"/>
      <c r="G46" s="1"/>
      <c r="H46" s="1"/>
    </row>
    <row r="47" spans="1:8" ht="21" customHeight="1">
      <c r="A47" s="1"/>
      <c r="B47" s="1"/>
      <c r="C47" s="1"/>
      <c r="D47" s="1"/>
      <c r="E47" s="1"/>
      <c r="F47" s="1"/>
      <c r="G47" s="1"/>
      <c r="H47" s="1"/>
    </row>
  </sheetData>
  <dataValidations count="3">
    <dataValidation type="whole" sqref="C7" xr:uid="{00000000-0002-0000-0000-000000000000}">
      <formula1>1</formula1>
      <formula2>28</formula2>
    </dataValidation>
    <dataValidation type="list" sqref="C8" xr:uid="{00000000-0002-0000-0000-000001000000}">
      <formula1>"All,Estuary,Meadow,Ridge"</formula1>
    </dataValidation>
    <dataValidation type="decimal" sqref="C9" xr:uid="{00000000-0002-0000-0000-000002000000}">
      <formula1>0</formula1>
      <formula2>100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2"/>
  <sheetViews>
    <sheetView showGridLines="0" workbookViewId="0">
      <pane ySplit="6" topLeftCell="A7" activePane="bottomLeft" state="frozen"/>
      <selection pane="bottomLeft"/>
    </sheetView>
  </sheetViews>
  <sheetFormatPr defaultRowHeight="13.8"/>
  <cols>
    <col min="1" max="1" width="3" customWidth="1"/>
    <col min="2" max="2" width="20" customWidth="1"/>
    <col min="3" max="3" width="12" customWidth="1"/>
    <col min="4" max="4" width="18" customWidth="1"/>
    <col min="5" max="5" width="20" customWidth="1"/>
    <col min="6" max="6" width="18" customWidth="1"/>
    <col min="7" max="7" width="3" customWidth="1"/>
  </cols>
  <sheetData>
    <row r="1" spans="1:7" ht="21" customHeight="1">
      <c r="A1" s="1"/>
      <c r="B1" s="1"/>
      <c r="C1" s="1"/>
      <c r="D1" s="1"/>
      <c r="E1" s="1"/>
      <c r="F1" s="1"/>
      <c r="G1" s="1"/>
    </row>
    <row r="2" spans="1:7" ht="30" customHeight="1">
      <c r="A2" s="1"/>
      <c r="B2" s="2" t="s">
        <v>33</v>
      </c>
      <c r="C2" s="2"/>
      <c r="D2" s="2"/>
      <c r="E2" s="2"/>
      <c r="F2" s="2"/>
      <c r="G2" s="1"/>
    </row>
    <row r="3" spans="1:7" ht="8.0500000000000007" customHeight="1">
      <c r="A3" s="1"/>
      <c r="B3" s="3"/>
      <c r="C3" s="3"/>
      <c r="D3" s="3"/>
      <c r="E3" s="3"/>
      <c r="F3" s="3"/>
      <c r="G3" s="1"/>
    </row>
    <row r="4" spans="1:7" ht="21" customHeight="1">
      <c r="A4" s="1"/>
      <c r="B4" s="16" t="s">
        <v>34</v>
      </c>
      <c r="C4" s="16"/>
      <c r="D4" s="16"/>
      <c r="E4" s="16"/>
      <c r="F4" s="16"/>
      <c r="G4" s="1"/>
    </row>
    <row r="5" spans="1:7" ht="21" customHeight="1">
      <c r="A5" s="1"/>
      <c r="B5" s="16" t="s">
        <v>35</v>
      </c>
      <c r="C5" s="16"/>
      <c r="D5" s="16"/>
      <c r="E5" s="16"/>
      <c r="F5" s="16"/>
      <c r="G5" s="1"/>
    </row>
    <row r="6" spans="1:7" ht="21" customHeight="1">
      <c r="A6" s="1"/>
      <c r="B6" s="13" t="s">
        <v>36</v>
      </c>
      <c r="C6" s="13" t="s">
        <v>37</v>
      </c>
      <c r="D6" s="13" t="s">
        <v>38</v>
      </c>
      <c r="E6" s="13" t="s">
        <v>39</v>
      </c>
      <c r="F6" s="13" t="s">
        <v>40</v>
      </c>
      <c r="G6" s="1"/>
    </row>
    <row r="7" spans="1:7" ht="21" customHeight="1">
      <c r="A7" s="1"/>
      <c r="B7" s="17" t="s">
        <v>41</v>
      </c>
      <c r="C7" s="18">
        <v>1</v>
      </c>
      <c r="D7" s="1" t="s">
        <v>42</v>
      </c>
      <c r="E7" s="19">
        <v>40.22</v>
      </c>
      <c r="F7" s="20" t="b">
        <v>1</v>
      </c>
      <c r="G7" s="1"/>
    </row>
    <row r="8" spans="1:7" ht="21" customHeight="1">
      <c r="A8" s="1"/>
      <c r="B8" s="17" t="s">
        <v>43</v>
      </c>
      <c r="C8" s="18">
        <v>1</v>
      </c>
      <c r="D8" s="1" t="s">
        <v>44</v>
      </c>
      <c r="E8" s="19">
        <v>51.01</v>
      </c>
      <c r="F8" s="20" t="b">
        <v>1</v>
      </c>
      <c r="G8" s="1"/>
    </row>
    <row r="9" spans="1:7" ht="21" customHeight="1">
      <c r="A9" s="1"/>
      <c r="B9" s="17" t="s">
        <v>45</v>
      </c>
      <c r="C9" s="18">
        <v>1</v>
      </c>
      <c r="D9" s="1" t="s">
        <v>46</v>
      </c>
      <c r="E9" s="19">
        <v>59.08</v>
      </c>
      <c r="F9" s="20" t="b">
        <v>1</v>
      </c>
      <c r="G9" s="1"/>
    </row>
    <row r="10" spans="1:7" ht="21" customHeight="1">
      <c r="A10" s="1"/>
      <c r="B10" s="17" t="s">
        <v>47</v>
      </c>
      <c r="C10" s="18">
        <v>2</v>
      </c>
      <c r="D10" s="1" t="s">
        <v>42</v>
      </c>
      <c r="E10" s="19">
        <v>42.25</v>
      </c>
      <c r="F10" s="20" t="b">
        <v>1</v>
      </c>
      <c r="G10" s="1"/>
    </row>
    <row r="11" spans="1:7" ht="21" customHeight="1">
      <c r="A11" s="1"/>
      <c r="B11" s="17" t="s">
        <v>48</v>
      </c>
      <c r="C11" s="18">
        <v>2</v>
      </c>
      <c r="D11" s="1" t="s">
        <v>44</v>
      </c>
      <c r="E11" s="19">
        <v>52.02</v>
      </c>
      <c r="F11" s="20" t="b">
        <v>1</v>
      </c>
      <c r="G11" s="1"/>
    </row>
    <row r="12" spans="1:7" ht="21" customHeight="1">
      <c r="A12" s="1"/>
      <c r="B12" s="17" t="s">
        <v>49</v>
      </c>
      <c r="C12" s="18">
        <v>2</v>
      </c>
      <c r="D12" s="1" t="s">
        <v>46</v>
      </c>
      <c r="E12" s="19">
        <v>59.1</v>
      </c>
      <c r="F12" s="20" t="b">
        <v>1</v>
      </c>
      <c r="G12" s="1"/>
    </row>
    <row r="13" spans="1:7" ht="21" customHeight="1">
      <c r="A13" s="1"/>
      <c r="B13" s="17" t="s">
        <v>50</v>
      </c>
      <c r="C13" s="18">
        <v>3</v>
      </c>
      <c r="D13" s="1" t="s">
        <v>42</v>
      </c>
      <c r="E13" s="19">
        <v>43.95</v>
      </c>
      <c r="F13" s="20" t="b">
        <v>1</v>
      </c>
      <c r="G13" s="1"/>
    </row>
    <row r="14" spans="1:7" ht="21" customHeight="1">
      <c r="A14" s="1"/>
      <c r="B14" s="17" t="s">
        <v>51</v>
      </c>
      <c r="C14" s="18">
        <v>3</v>
      </c>
      <c r="D14" s="1" t="s">
        <v>44</v>
      </c>
      <c r="E14" s="19">
        <v>52.58</v>
      </c>
      <c r="F14" s="20" t="b">
        <v>1</v>
      </c>
      <c r="G14" s="1"/>
    </row>
    <row r="15" spans="1:7" ht="21" customHeight="1">
      <c r="A15" s="1"/>
      <c r="B15" s="17" t="s">
        <v>52</v>
      </c>
      <c r="C15" s="18">
        <v>3</v>
      </c>
      <c r="D15" s="1" t="s">
        <v>46</v>
      </c>
      <c r="E15" s="19">
        <v>58.97</v>
      </c>
      <c r="F15" s="20" t="b">
        <v>1</v>
      </c>
      <c r="G15" s="1"/>
    </row>
    <row r="16" spans="1:7" ht="21" customHeight="1">
      <c r="A16" s="1"/>
      <c r="B16" s="17" t="s">
        <v>53</v>
      </c>
      <c r="C16" s="18">
        <v>4</v>
      </c>
      <c r="D16" s="1" t="s">
        <v>42</v>
      </c>
      <c r="E16" s="19">
        <v>45.2</v>
      </c>
      <c r="F16" s="20" t="b">
        <v>1</v>
      </c>
      <c r="G16" s="1"/>
    </row>
    <row r="17" spans="1:7" ht="21" customHeight="1">
      <c r="A17" s="1"/>
      <c r="B17" s="17" t="s">
        <v>54</v>
      </c>
      <c r="C17" s="18">
        <v>4</v>
      </c>
      <c r="D17" s="1" t="s">
        <v>44</v>
      </c>
      <c r="E17" s="19">
        <v>52.75</v>
      </c>
      <c r="F17" s="20" t="b">
        <v>1</v>
      </c>
      <c r="G17" s="1"/>
    </row>
    <row r="18" spans="1:7" ht="21" customHeight="1">
      <c r="A18" s="1"/>
      <c r="B18" s="17" t="s">
        <v>55</v>
      </c>
      <c r="C18" s="18">
        <v>4</v>
      </c>
      <c r="D18" s="1" t="s">
        <v>46</v>
      </c>
      <c r="E18" s="19">
        <v>58.87</v>
      </c>
      <c r="F18" s="20" t="b">
        <v>1</v>
      </c>
      <c r="G18" s="1"/>
    </row>
    <row r="19" spans="1:7" ht="21" customHeight="1">
      <c r="A19" s="1"/>
      <c r="B19" s="17" t="s">
        <v>56</v>
      </c>
      <c r="C19" s="18">
        <v>5</v>
      </c>
      <c r="D19" s="1" t="s">
        <v>42</v>
      </c>
      <c r="E19" s="19">
        <v>43.98</v>
      </c>
      <c r="F19" s="20" t="b">
        <v>1</v>
      </c>
      <c r="G19" s="1"/>
    </row>
    <row r="20" spans="1:7" ht="21" customHeight="1">
      <c r="A20" s="1"/>
      <c r="B20" s="17" t="s">
        <v>57</v>
      </c>
      <c r="C20" s="18">
        <v>5</v>
      </c>
      <c r="D20" s="1" t="s">
        <v>44</v>
      </c>
      <c r="E20" s="19">
        <v>50.67</v>
      </c>
      <c r="F20" s="20" t="b">
        <v>1</v>
      </c>
      <c r="G20" s="1"/>
    </row>
    <row r="21" spans="1:7" ht="21" customHeight="1">
      <c r="A21" s="1"/>
      <c r="B21" s="17" t="s">
        <v>58</v>
      </c>
      <c r="C21" s="18">
        <v>5</v>
      </c>
      <c r="D21" s="1" t="s">
        <v>46</v>
      </c>
      <c r="E21" s="19">
        <v>56.98</v>
      </c>
      <c r="F21" s="20" t="b">
        <v>1</v>
      </c>
      <c r="G21" s="1"/>
    </row>
    <row r="22" spans="1:7" ht="21" customHeight="1">
      <c r="A22" s="1"/>
      <c r="B22" s="17" t="s">
        <v>59</v>
      </c>
      <c r="C22" s="18">
        <v>6</v>
      </c>
      <c r="D22" s="1" t="s">
        <v>42</v>
      </c>
      <c r="E22" s="19">
        <v>44.33</v>
      </c>
      <c r="F22" s="20" t="b">
        <v>1</v>
      </c>
      <c r="G22" s="1"/>
    </row>
    <row r="23" spans="1:7" ht="21" customHeight="1">
      <c r="A23" s="1"/>
      <c r="B23" s="17" t="s">
        <v>60</v>
      </c>
      <c r="C23" s="18">
        <v>6</v>
      </c>
      <c r="D23" s="1" t="s">
        <v>44</v>
      </c>
      <c r="E23" s="19">
        <v>50.53</v>
      </c>
      <c r="F23" s="20" t="b">
        <v>1</v>
      </c>
      <c r="G23" s="1"/>
    </row>
    <row r="24" spans="1:7" ht="21" customHeight="1">
      <c r="A24" s="1"/>
      <c r="B24" s="17" t="s">
        <v>61</v>
      </c>
      <c r="C24" s="18">
        <v>6</v>
      </c>
      <c r="D24" s="1" t="s">
        <v>46</v>
      </c>
      <c r="E24" s="19">
        <v>57.45</v>
      </c>
      <c r="F24" s="20" t="b">
        <v>1</v>
      </c>
      <c r="G24" s="1"/>
    </row>
    <row r="25" spans="1:7" ht="21" customHeight="1">
      <c r="A25" s="1"/>
      <c r="B25" s="17" t="s">
        <v>62</v>
      </c>
      <c r="C25" s="18">
        <v>7</v>
      </c>
      <c r="D25" s="1" t="s">
        <v>42</v>
      </c>
      <c r="E25" s="19">
        <v>44.35</v>
      </c>
      <c r="F25" s="20" t="b">
        <v>1</v>
      </c>
      <c r="G25" s="1"/>
    </row>
    <row r="26" spans="1:7" ht="21" customHeight="1">
      <c r="A26" s="1"/>
      <c r="B26" s="17" t="s">
        <v>63</v>
      </c>
      <c r="C26" s="18">
        <v>7</v>
      </c>
      <c r="D26" s="1" t="s">
        <v>44</v>
      </c>
      <c r="E26" s="19">
        <v>50.51</v>
      </c>
      <c r="F26" s="20" t="b">
        <v>1</v>
      </c>
      <c r="G26" s="1"/>
    </row>
    <row r="27" spans="1:7" ht="21" customHeight="1">
      <c r="A27" s="1"/>
      <c r="B27" s="17" t="s">
        <v>64</v>
      </c>
      <c r="C27" s="18">
        <v>7</v>
      </c>
      <c r="D27" s="1" t="s">
        <v>46</v>
      </c>
      <c r="E27" s="19">
        <v>58.36</v>
      </c>
      <c r="F27" s="20" t="b">
        <v>0</v>
      </c>
      <c r="G27" s="1"/>
    </row>
    <row r="28" spans="1:7" ht="21" customHeight="1">
      <c r="A28" s="1"/>
      <c r="B28" s="17" t="s">
        <v>65</v>
      </c>
      <c r="C28" s="18">
        <v>8</v>
      </c>
      <c r="D28" s="1" t="s">
        <v>42</v>
      </c>
      <c r="E28" s="19">
        <v>44.22</v>
      </c>
      <c r="F28" s="20" t="b">
        <v>1</v>
      </c>
      <c r="G28" s="1"/>
    </row>
    <row r="29" spans="1:7" ht="21" customHeight="1">
      <c r="A29" s="1"/>
      <c r="B29" s="17" t="s">
        <v>66</v>
      </c>
      <c r="C29" s="18">
        <v>8</v>
      </c>
      <c r="D29" s="1" t="s">
        <v>44</v>
      </c>
      <c r="E29" s="19">
        <v>50.79</v>
      </c>
      <c r="F29" s="20" t="b">
        <v>1</v>
      </c>
      <c r="G29" s="1"/>
    </row>
    <row r="30" spans="1:7" ht="21" customHeight="1">
      <c r="A30" s="1"/>
      <c r="B30" s="17" t="s">
        <v>67</v>
      </c>
      <c r="C30" s="18">
        <v>8</v>
      </c>
      <c r="D30" s="1" t="s">
        <v>46</v>
      </c>
      <c r="E30" s="19">
        <v>59.75</v>
      </c>
      <c r="F30" s="20" t="b">
        <v>1</v>
      </c>
      <c r="G30" s="1"/>
    </row>
    <row r="31" spans="1:7" ht="21" customHeight="1">
      <c r="A31" s="1"/>
      <c r="B31" s="17" t="s">
        <v>68</v>
      </c>
      <c r="C31" s="18">
        <v>9</v>
      </c>
      <c r="D31" s="1" t="s">
        <v>42</v>
      </c>
      <c r="E31" s="19">
        <v>44.12</v>
      </c>
      <c r="F31" s="20" t="b">
        <v>1</v>
      </c>
      <c r="G31" s="1"/>
    </row>
    <row r="32" spans="1:7" ht="21" customHeight="1">
      <c r="A32" s="1"/>
      <c r="B32" s="17" t="s">
        <v>69</v>
      </c>
      <c r="C32" s="18">
        <v>9</v>
      </c>
      <c r="D32" s="1" t="s">
        <v>44</v>
      </c>
      <c r="E32" s="19">
        <v>51.47</v>
      </c>
      <c r="F32" s="20" t="b">
        <v>1</v>
      </c>
      <c r="G32" s="1"/>
    </row>
    <row r="33" spans="1:7" ht="21" customHeight="1">
      <c r="A33" s="1"/>
      <c r="B33" s="17" t="s">
        <v>70</v>
      </c>
      <c r="C33" s="18">
        <v>9</v>
      </c>
      <c r="D33" s="1" t="s">
        <v>46</v>
      </c>
      <c r="E33" s="19">
        <v>61.56</v>
      </c>
      <c r="F33" s="20" t="b">
        <v>1</v>
      </c>
      <c r="G33" s="1"/>
    </row>
    <row r="34" spans="1:7" ht="21" customHeight="1">
      <c r="A34" s="1"/>
      <c r="B34" s="17" t="s">
        <v>71</v>
      </c>
      <c r="C34" s="18">
        <v>10</v>
      </c>
      <c r="D34" s="1" t="s">
        <v>42</v>
      </c>
      <c r="E34" s="19">
        <v>42.23</v>
      </c>
      <c r="F34" s="20" t="b">
        <v>1</v>
      </c>
      <c r="G34" s="1"/>
    </row>
    <row r="35" spans="1:7" ht="21" customHeight="1">
      <c r="A35" s="1"/>
      <c r="B35" s="17" t="s">
        <v>72</v>
      </c>
      <c r="C35" s="18">
        <v>10</v>
      </c>
      <c r="D35" s="1" t="s">
        <v>44</v>
      </c>
      <c r="E35" s="19">
        <v>50.62</v>
      </c>
      <c r="F35" s="20" t="b">
        <v>0</v>
      </c>
      <c r="G35" s="1"/>
    </row>
    <row r="36" spans="1:7" ht="21" customHeight="1">
      <c r="A36" s="1"/>
      <c r="B36" s="17" t="s">
        <v>73</v>
      </c>
      <c r="C36" s="18">
        <v>10</v>
      </c>
      <c r="D36" s="1" t="s">
        <v>46</v>
      </c>
      <c r="E36" s="19">
        <v>61.66</v>
      </c>
      <c r="F36" s="20" t="b">
        <v>1</v>
      </c>
      <c r="G36" s="1"/>
    </row>
    <row r="37" spans="1:7" ht="21" customHeight="1">
      <c r="A37" s="1"/>
      <c r="B37" s="17" t="s">
        <v>74</v>
      </c>
      <c r="C37" s="18">
        <v>11</v>
      </c>
      <c r="D37" s="1" t="s">
        <v>42</v>
      </c>
      <c r="E37" s="19">
        <v>42.7</v>
      </c>
      <c r="F37" s="20" t="b">
        <v>1</v>
      </c>
      <c r="G37" s="1"/>
    </row>
    <row r="38" spans="1:7" ht="21" customHeight="1">
      <c r="A38" s="1"/>
      <c r="B38" s="17" t="s">
        <v>75</v>
      </c>
      <c r="C38" s="18">
        <v>11</v>
      </c>
      <c r="D38" s="1" t="s">
        <v>44</v>
      </c>
      <c r="E38" s="19">
        <v>52.23</v>
      </c>
      <c r="F38" s="20" t="b">
        <v>1</v>
      </c>
      <c r="G38" s="1"/>
    </row>
    <row r="39" spans="1:7" ht="21" customHeight="1">
      <c r="A39" s="1"/>
      <c r="B39" s="17" t="s">
        <v>76</v>
      </c>
      <c r="C39" s="18">
        <v>11</v>
      </c>
      <c r="D39" s="1" t="s">
        <v>46</v>
      </c>
      <c r="E39" s="19">
        <v>63.9</v>
      </c>
      <c r="F39" s="20" t="b">
        <v>1</v>
      </c>
      <c r="G39" s="1"/>
    </row>
    <row r="40" spans="1:7" ht="21" customHeight="1">
      <c r="A40" s="1"/>
      <c r="B40" s="17" t="s">
        <v>77</v>
      </c>
      <c r="C40" s="18">
        <v>12</v>
      </c>
      <c r="D40" s="1" t="s">
        <v>42</v>
      </c>
      <c r="E40" s="19">
        <v>43.61</v>
      </c>
      <c r="F40" s="20" t="b">
        <v>1</v>
      </c>
      <c r="G40" s="1"/>
    </row>
    <row r="41" spans="1:7" ht="21" customHeight="1">
      <c r="A41" s="1"/>
      <c r="B41" s="17" t="s">
        <v>78</v>
      </c>
      <c r="C41" s="18">
        <v>12</v>
      </c>
      <c r="D41" s="1" t="s">
        <v>44</v>
      </c>
      <c r="E41" s="19">
        <v>54.21</v>
      </c>
      <c r="F41" s="20" t="b">
        <v>1</v>
      </c>
      <c r="G41" s="1"/>
    </row>
    <row r="42" spans="1:7" ht="21" customHeight="1">
      <c r="A42" s="1"/>
      <c r="B42" s="17" t="s">
        <v>79</v>
      </c>
      <c r="C42" s="18">
        <v>12</v>
      </c>
      <c r="D42" s="1" t="s">
        <v>46</v>
      </c>
      <c r="E42" s="19">
        <v>66.08</v>
      </c>
      <c r="F42" s="20" t="b">
        <v>1</v>
      </c>
      <c r="G42" s="1"/>
    </row>
    <row r="43" spans="1:7" ht="21" customHeight="1">
      <c r="A43" s="1"/>
      <c r="B43" s="17" t="s">
        <v>80</v>
      </c>
      <c r="C43" s="18">
        <v>13</v>
      </c>
      <c r="D43" s="1" t="s">
        <v>42</v>
      </c>
      <c r="E43" s="19">
        <v>45</v>
      </c>
      <c r="F43" s="20" t="b">
        <v>0</v>
      </c>
      <c r="G43" s="1"/>
    </row>
    <row r="44" spans="1:7" ht="21" customHeight="1">
      <c r="A44" s="1"/>
      <c r="B44" s="17" t="s">
        <v>81</v>
      </c>
      <c r="C44" s="18">
        <v>13</v>
      </c>
      <c r="D44" s="1" t="s">
        <v>44</v>
      </c>
      <c r="E44" s="19">
        <v>56.4</v>
      </c>
      <c r="F44" s="20" t="b">
        <v>1</v>
      </c>
      <c r="G44" s="1"/>
    </row>
    <row r="45" spans="1:7" ht="21" customHeight="1">
      <c r="A45" s="1"/>
      <c r="B45" s="17" t="s">
        <v>82</v>
      </c>
      <c r="C45" s="18">
        <v>13</v>
      </c>
      <c r="D45" s="1" t="s">
        <v>46</v>
      </c>
      <c r="E45" s="19">
        <v>68.03</v>
      </c>
      <c r="F45" s="20" t="b">
        <v>1</v>
      </c>
      <c r="G45" s="1"/>
    </row>
    <row r="46" spans="1:7" ht="21" customHeight="1">
      <c r="A46" s="1"/>
      <c r="B46" s="17" t="s">
        <v>83</v>
      </c>
      <c r="C46" s="18">
        <v>14</v>
      </c>
      <c r="D46" s="1" t="s">
        <v>42</v>
      </c>
      <c r="E46" s="19">
        <v>46.81</v>
      </c>
      <c r="F46" s="20" t="b">
        <v>1</v>
      </c>
      <c r="G46" s="1"/>
    </row>
    <row r="47" spans="1:7" ht="21" customHeight="1">
      <c r="A47" s="1"/>
      <c r="B47" s="17" t="s">
        <v>84</v>
      </c>
      <c r="C47" s="18">
        <v>14</v>
      </c>
      <c r="D47" s="1" t="s">
        <v>44</v>
      </c>
      <c r="E47" s="19">
        <v>58.63</v>
      </c>
      <c r="F47" s="20" t="b">
        <v>1</v>
      </c>
      <c r="G47" s="1"/>
    </row>
    <row r="48" spans="1:7" ht="21" customHeight="1">
      <c r="A48" s="1"/>
      <c r="B48" s="17" t="s">
        <v>85</v>
      </c>
      <c r="C48" s="18">
        <v>14</v>
      </c>
      <c r="D48" s="1" t="s">
        <v>46</v>
      </c>
      <c r="E48" s="19">
        <v>69.599999999999994</v>
      </c>
      <c r="F48" s="20" t="b">
        <v>1</v>
      </c>
      <c r="G48" s="1"/>
    </row>
    <row r="49" spans="1:7" ht="21" customHeight="1">
      <c r="A49" s="1"/>
      <c r="B49" s="17" t="s">
        <v>86</v>
      </c>
      <c r="C49" s="18">
        <v>15</v>
      </c>
      <c r="D49" s="1" t="s">
        <v>42</v>
      </c>
      <c r="E49" s="19">
        <v>46.91</v>
      </c>
      <c r="F49" s="20" t="b">
        <v>1</v>
      </c>
      <c r="G49" s="1"/>
    </row>
    <row r="50" spans="1:7" ht="21" customHeight="1">
      <c r="A50" s="1"/>
      <c r="B50" s="17" t="s">
        <v>87</v>
      </c>
      <c r="C50" s="18">
        <v>15</v>
      </c>
      <c r="D50" s="1" t="s">
        <v>44</v>
      </c>
      <c r="E50" s="19">
        <v>58.72</v>
      </c>
      <c r="F50" s="20" t="b">
        <v>1</v>
      </c>
      <c r="G50" s="1"/>
    </row>
    <row r="51" spans="1:7" ht="21" customHeight="1">
      <c r="A51" s="1"/>
      <c r="B51" s="17" t="s">
        <v>88</v>
      </c>
      <c r="C51" s="18">
        <v>15</v>
      </c>
      <c r="D51" s="1" t="s">
        <v>46</v>
      </c>
      <c r="E51" s="19">
        <v>68.72</v>
      </c>
      <c r="F51" s="20" t="b">
        <v>1</v>
      </c>
      <c r="G51" s="1"/>
    </row>
    <row r="52" spans="1:7" ht="21" customHeight="1">
      <c r="A52" s="1"/>
      <c r="B52" s="17" t="s">
        <v>89</v>
      </c>
      <c r="C52" s="18">
        <v>16</v>
      </c>
      <c r="D52" s="1" t="s">
        <v>42</v>
      </c>
      <c r="E52" s="19">
        <v>49.15</v>
      </c>
      <c r="F52" s="20" t="b">
        <v>1</v>
      </c>
      <c r="G52" s="1"/>
    </row>
    <row r="53" spans="1:7" ht="21" customHeight="1">
      <c r="A53" s="1"/>
      <c r="B53" s="17" t="s">
        <v>90</v>
      </c>
      <c r="C53" s="18">
        <v>16</v>
      </c>
      <c r="D53" s="1" t="s">
        <v>44</v>
      </c>
      <c r="E53" s="19">
        <v>60.5</v>
      </c>
      <c r="F53" s="20" t="b">
        <v>1</v>
      </c>
      <c r="G53" s="1"/>
    </row>
    <row r="54" spans="1:7" ht="21" customHeight="1">
      <c r="A54" s="1"/>
      <c r="B54" s="17" t="s">
        <v>91</v>
      </c>
      <c r="C54" s="18">
        <v>16</v>
      </c>
      <c r="D54" s="1" t="s">
        <v>46</v>
      </c>
      <c r="E54" s="19">
        <v>69.36</v>
      </c>
      <c r="F54" s="20" t="b">
        <v>1</v>
      </c>
      <c r="G54" s="1"/>
    </row>
    <row r="55" spans="1:7" ht="21" customHeight="1">
      <c r="A55" s="1"/>
      <c r="B55" s="17" t="s">
        <v>92</v>
      </c>
      <c r="C55" s="18">
        <v>17</v>
      </c>
      <c r="D55" s="1" t="s">
        <v>42</v>
      </c>
      <c r="E55" s="19">
        <v>51.33</v>
      </c>
      <c r="F55" s="20" t="b">
        <v>1</v>
      </c>
      <c r="G55" s="1"/>
    </row>
    <row r="56" spans="1:7" ht="21" customHeight="1">
      <c r="A56" s="1"/>
      <c r="B56" s="17" t="s">
        <v>93</v>
      </c>
      <c r="C56" s="18">
        <v>17</v>
      </c>
      <c r="D56" s="1" t="s">
        <v>44</v>
      </c>
      <c r="E56" s="19">
        <v>61.85</v>
      </c>
      <c r="F56" s="20" t="b">
        <v>1</v>
      </c>
      <c r="G56" s="1"/>
    </row>
    <row r="57" spans="1:7" ht="21" customHeight="1">
      <c r="A57" s="1"/>
      <c r="B57" s="17" t="s">
        <v>94</v>
      </c>
      <c r="C57" s="18">
        <v>17</v>
      </c>
      <c r="D57" s="1" t="s">
        <v>46</v>
      </c>
      <c r="E57" s="19">
        <v>69.599999999999994</v>
      </c>
      <c r="F57" s="20" t="b">
        <v>1</v>
      </c>
      <c r="G57" s="1"/>
    </row>
    <row r="58" spans="1:7" ht="21" customHeight="1">
      <c r="A58" s="1"/>
      <c r="B58" s="17" t="s">
        <v>95</v>
      </c>
      <c r="C58" s="18">
        <v>18</v>
      </c>
      <c r="D58" s="1" t="s">
        <v>42</v>
      </c>
      <c r="E58" s="19">
        <v>53.28</v>
      </c>
      <c r="F58" s="20" t="b">
        <v>1</v>
      </c>
      <c r="G58" s="1"/>
    </row>
    <row r="59" spans="1:7" ht="21" customHeight="1">
      <c r="A59" s="1"/>
      <c r="B59" s="17" t="s">
        <v>96</v>
      </c>
      <c r="C59" s="18">
        <v>18</v>
      </c>
      <c r="D59" s="1" t="s">
        <v>44</v>
      </c>
      <c r="E59" s="19">
        <v>62.72</v>
      </c>
      <c r="F59" s="20" t="b">
        <v>1</v>
      </c>
      <c r="G59" s="1"/>
    </row>
    <row r="60" spans="1:7" ht="21" customHeight="1">
      <c r="A60" s="1"/>
      <c r="B60" s="17" t="s">
        <v>97</v>
      </c>
      <c r="C60" s="18">
        <v>18</v>
      </c>
      <c r="D60" s="1" t="s">
        <v>46</v>
      </c>
      <c r="E60" s="19">
        <v>69.569999999999993</v>
      </c>
      <c r="F60" s="20" t="b">
        <v>1</v>
      </c>
      <c r="G60" s="1"/>
    </row>
    <row r="61" spans="1:7" ht="21" customHeight="1">
      <c r="A61" s="1"/>
      <c r="B61" s="17" t="s">
        <v>98</v>
      </c>
      <c r="C61" s="18">
        <v>19</v>
      </c>
      <c r="D61" s="1" t="s">
        <v>42</v>
      </c>
      <c r="E61" s="19">
        <v>54.85</v>
      </c>
      <c r="F61" s="20" t="b">
        <v>1</v>
      </c>
      <c r="G61" s="1"/>
    </row>
    <row r="62" spans="1:7" ht="21" customHeight="1">
      <c r="A62" s="1"/>
      <c r="B62" s="17" t="s">
        <v>99</v>
      </c>
      <c r="C62" s="18">
        <v>19</v>
      </c>
      <c r="D62" s="1" t="s">
        <v>44</v>
      </c>
      <c r="E62" s="19">
        <v>63.15</v>
      </c>
      <c r="F62" s="20" t="b">
        <v>1</v>
      </c>
      <c r="G62" s="1"/>
    </row>
    <row r="63" spans="1:7" ht="21" customHeight="1">
      <c r="A63" s="1"/>
      <c r="B63" s="17" t="s">
        <v>100</v>
      </c>
      <c r="C63" s="18">
        <v>19</v>
      </c>
      <c r="D63" s="1" t="s">
        <v>46</v>
      </c>
      <c r="E63" s="19">
        <v>69.430000000000007</v>
      </c>
      <c r="F63" s="20" t="b">
        <v>1</v>
      </c>
      <c r="G63" s="1"/>
    </row>
    <row r="64" spans="1:7" ht="21" customHeight="1">
      <c r="A64" s="1"/>
      <c r="B64" s="17" t="s">
        <v>101</v>
      </c>
      <c r="C64" s="18">
        <v>20</v>
      </c>
      <c r="D64" s="1" t="s">
        <v>42</v>
      </c>
      <c r="E64" s="19">
        <v>53.97</v>
      </c>
      <c r="F64" s="20" t="b">
        <v>1</v>
      </c>
      <c r="G64" s="1"/>
    </row>
    <row r="65" spans="1:7" ht="21" customHeight="1">
      <c r="A65" s="1"/>
      <c r="B65" s="17" t="s">
        <v>102</v>
      </c>
      <c r="C65" s="18">
        <v>20</v>
      </c>
      <c r="D65" s="1" t="s">
        <v>44</v>
      </c>
      <c r="E65" s="19">
        <v>61.24</v>
      </c>
      <c r="F65" s="20" t="b">
        <v>1</v>
      </c>
      <c r="G65" s="1"/>
    </row>
    <row r="66" spans="1:7" ht="21" customHeight="1">
      <c r="A66" s="1"/>
      <c r="B66" s="17" t="s">
        <v>103</v>
      </c>
      <c r="C66" s="18">
        <v>20</v>
      </c>
      <c r="D66" s="1" t="s">
        <v>46</v>
      </c>
      <c r="E66" s="19">
        <v>67.37</v>
      </c>
      <c r="F66" s="20" t="b">
        <v>0</v>
      </c>
      <c r="G66" s="1"/>
    </row>
    <row r="67" spans="1:7" ht="21" customHeight="1">
      <c r="A67" s="1"/>
      <c r="B67" s="17" t="s">
        <v>104</v>
      </c>
      <c r="C67" s="18">
        <v>21</v>
      </c>
      <c r="D67" s="1" t="s">
        <v>42</v>
      </c>
      <c r="E67" s="19">
        <v>54.61</v>
      </c>
      <c r="F67" s="20" t="b">
        <v>1</v>
      </c>
      <c r="G67" s="1"/>
    </row>
    <row r="68" spans="1:7" ht="21" customHeight="1">
      <c r="A68" s="1"/>
      <c r="B68" s="17" t="s">
        <v>105</v>
      </c>
      <c r="C68" s="18">
        <v>21</v>
      </c>
      <c r="D68" s="1" t="s">
        <v>44</v>
      </c>
      <c r="E68" s="19">
        <v>61.12</v>
      </c>
      <c r="F68" s="20" t="b">
        <v>1</v>
      </c>
      <c r="G68" s="1"/>
    </row>
    <row r="69" spans="1:7" ht="21" customHeight="1">
      <c r="A69" s="1"/>
      <c r="B69" s="17" t="s">
        <v>106</v>
      </c>
      <c r="C69" s="18">
        <v>21</v>
      </c>
      <c r="D69" s="1" t="s">
        <v>46</v>
      </c>
      <c r="E69" s="19">
        <v>67.569999999999993</v>
      </c>
      <c r="F69" s="20" t="b">
        <v>1</v>
      </c>
      <c r="G69" s="1"/>
    </row>
    <row r="70" spans="1:7" ht="21" customHeight="1">
      <c r="A70" s="1"/>
      <c r="B70" s="17" t="s">
        <v>107</v>
      </c>
      <c r="C70" s="18">
        <v>22</v>
      </c>
      <c r="D70" s="1" t="s">
        <v>42</v>
      </c>
      <c r="E70" s="19">
        <v>54.85</v>
      </c>
      <c r="F70" s="20" t="b">
        <v>1</v>
      </c>
      <c r="G70" s="1"/>
    </row>
    <row r="71" spans="1:7" ht="21" customHeight="1">
      <c r="A71" s="1"/>
      <c r="B71" s="17" t="s">
        <v>108</v>
      </c>
      <c r="C71" s="18">
        <v>22</v>
      </c>
      <c r="D71" s="1" t="s">
        <v>44</v>
      </c>
      <c r="E71" s="19">
        <v>61</v>
      </c>
      <c r="F71" s="20" t="b">
        <v>1</v>
      </c>
      <c r="G71" s="1"/>
    </row>
    <row r="72" spans="1:7" ht="21" customHeight="1">
      <c r="A72" s="1"/>
      <c r="B72" s="17" t="s">
        <v>109</v>
      </c>
      <c r="C72" s="18">
        <v>22</v>
      </c>
      <c r="D72" s="1" t="s">
        <v>46</v>
      </c>
      <c r="E72" s="19">
        <v>68.16</v>
      </c>
      <c r="F72" s="20" t="b">
        <v>1</v>
      </c>
      <c r="G72" s="1"/>
    </row>
    <row r="73" spans="1:7" ht="21" customHeight="1">
      <c r="A73" s="1"/>
      <c r="B73" s="17" t="s">
        <v>110</v>
      </c>
      <c r="C73" s="18">
        <v>23</v>
      </c>
      <c r="D73" s="1" t="s">
        <v>42</v>
      </c>
      <c r="E73" s="19">
        <v>54.82</v>
      </c>
      <c r="F73" s="20" t="b">
        <v>1</v>
      </c>
      <c r="G73" s="1"/>
    </row>
    <row r="74" spans="1:7" ht="21" customHeight="1">
      <c r="A74" s="1"/>
      <c r="B74" s="17" t="s">
        <v>111</v>
      </c>
      <c r="C74" s="18">
        <v>23</v>
      </c>
      <c r="D74" s="1" t="s">
        <v>44</v>
      </c>
      <c r="E74" s="19">
        <v>61.05</v>
      </c>
      <c r="F74" s="20" t="b">
        <v>0</v>
      </c>
      <c r="G74" s="1"/>
    </row>
    <row r="75" spans="1:7" ht="21" customHeight="1">
      <c r="A75" s="1"/>
      <c r="B75" s="17" t="s">
        <v>112</v>
      </c>
      <c r="C75" s="18">
        <v>23</v>
      </c>
      <c r="D75" s="1" t="s">
        <v>46</v>
      </c>
      <c r="E75" s="19">
        <v>69.209999999999994</v>
      </c>
      <c r="F75" s="20" t="b">
        <v>1</v>
      </c>
      <c r="G75" s="1"/>
    </row>
    <row r="76" spans="1:7" ht="21" customHeight="1">
      <c r="A76" s="1"/>
      <c r="B76" s="17" t="s">
        <v>113</v>
      </c>
      <c r="C76" s="18">
        <v>24</v>
      </c>
      <c r="D76" s="1" t="s">
        <v>42</v>
      </c>
      <c r="E76" s="19">
        <v>54.68</v>
      </c>
      <c r="F76" s="20" t="b">
        <v>1</v>
      </c>
      <c r="G76" s="1"/>
    </row>
    <row r="77" spans="1:7" ht="21" customHeight="1">
      <c r="A77" s="1"/>
      <c r="B77" s="17" t="s">
        <v>114</v>
      </c>
      <c r="C77" s="18">
        <v>24</v>
      </c>
      <c r="D77" s="1" t="s">
        <v>44</v>
      </c>
      <c r="E77" s="19">
        <v>61.43</v>
      </c>
      <c r="F77" s="20" t="b">
        <v>1</v>
      </c>
      <c r="G77" s="1"/>
    </row>
    <row r="78" spans="1:7" ht="21" customHeight="1">
      <c r="A78" s="1"/>
      <c r="B78" s="17" t="s">
        <v>115</v>
      </c>
      <c r="C78" s="18">
        <v>24</v>
      </c>
      <c r="D78" s="1" t="s">
        <v>46</v>
      </c>
      <c r="E78" s="19">
        <v>70.73</v>
      </c>
      <c r="F78" s="20" t="b">
        <v>1</v>
      </c>
      <c r="G78" s="1"/>
    </row>
    <row r="79" spans="1:7" ht="21" customHeight="1">
      <c r="A79" s="1"/>
      <c r="B79" s="17" t="s">
        <v>116</v>
      </c>
      <c r="C79" s="18">
        <v>25</v>
      </c>
      <c r="D79" s="1" t="s">
        <v>42</v>
      </c>
      <c r="E79" s="19">
        <v>52.62</v>
      </c>
      <c r="F79" s="20" t="b">
        <v>1</v>
      </c>
      <c r="G79" s="1"/>
    </row>
    <row r="80" spans="1:7" ht="21" customHeight="1">
      <c r="A80" s="1"/>
      <c r="B80" s="17" t="s">
        <v>117</v>
      </c>
      <c r="C80" s="18">
        <v>25</v>
      </c>
      <c r="D80" s="1" t="s">
        <v>44</v>
      </c>
      <c r="E80" s="19">
        <v>60.25</v>
      </c>
      <c r="F80" s="20" t="b">
        <v>1</v>
      </c>
      <c r="G80" s="1"/>
    </row>
    <row r="81" spans="1:7" ht="21" customHeight="1">
      <c r="A81" s="1"/>
      <c r="B81" s="17" t="s">
        <v>118</v>
      </c>
      <c r="C81" s="18">
        <v>25</v>
      </c>
      <c r="D81" s="1" t="s">
        <v>46</v>
      </c>
      <c r="E81" s="19">
        <v>70.64</v>
      </c>
      <c r="F81" s="20" t="b">
        <v>1</v>
      </c>
      <c r="G81" s="1"/>
    </row>
    <row r="82" spans="1:7" ht="21" customHeight="1">
      <c r="A82" s="1"/>
      <c r="B82" s="17" t="s">
        <v>119</v>
      </c>
      <c r="C82" s="18">
        <v>26</v>
      </c>
      <c r="D82" s="1" t="s">
        <v>42</v>
      </c>
      <c r="E82" s="19">
        <v>52.82</v>
      </c>
      <c r="F82" s="20" t="b">
        <v>0</v>
      </c>
      <c r="G82" s="1"/>
    </row>
    <row r="83" spans="1:7" ht="21" customHeight="1">
      <c r="A83" s="1"/>
      <c r="B83" s="17" t="s">
        <v>120</v>
      </c>
      <c r="C83" s="18">
        <v>26</v>
      </c>
      <c r="D83" s="1" t="s">
        <v>44</v>
      </c>
      <c r="E83" s="19">
        <v>61.54</v>
      </c>
      <c r="F83" s="20" t="b">
        <v>1</v>
      </c>
      <c r="G83" s="1"/>
    </row>
    <row r="84" spans="1:7" ht="21" customHeight="1">
      <c r="A84" s="1"/>
      <c r="B84" s="17" t="s">
        <v>121</v>
      </c>
      <c r="C84" s="18">
        <v>26</v>
      </c>
      <c r="D84" s="1" t="s">
        <v>46</v>
      </c>
      <c r="E84" s="19">
        <v>72.8</v>
      </c>
      <c r="F84" s="20" t="b">
        <v>1</v>
      </c>
      <c r="G84" s="1"/>
    </row>
    <row r="85" spans="1:7" ht="21" customHeight="1">
      <c r="A85" s="1"/>
      <c r="B85" s="17" t="s">
        <v>122</v>
      </c>
      <c r="C85" s="18">
        <v>27</v>
      </c>
      <c r="D85" s="1" t="s">
        <v>42</v>
      </c>
      <c r="E85" s="19">
        <v>53.41</v>
      </c>
      <c r="F85" s="20" t="b">
        <v>1</v>
      </c>
      <c r="G85" s="1"/>
    </row>
    <row r="86" spans="1:7" ht="21" customHeight="1">
      <c r="A86" s="1"/>
      <c r="B86" s="17" t="s">
        <v>123</v>
      </c>
      <c r="C86" s="18">
        <v>27</v>
      </c>
      <c r="D86" s="1" t="s">
        <v>44</v>
      </c>
      <c r="E86" s="19">
        <v>63.27</v>
      </c>
      <c r="F86" s="20" t="b">
        <v>1</v>
      </c>
      <c r="G86" s="1"/>
    </row>
    <row r="87" spans="1:7" ht="21" customHeight="1">
      <c r="A87" s="1"/>
      <c r="B87" s="17" t="s">
        <v>124</v>
      </c>
      <c r="C87" s="18">
        <v>27</v>
      </c>
      <c r="D87" s="1" t="s">
        <v>46</v>
      </c>
      <c r="E87" s="19">
        <v>75.040000000000006</v>
      </c>
      <c r="F87" s="20" t="b">
        <v>1</v>
      </c>
      <c r="G87" s="1"/>
    </row>
    <row r="88" spans="1:7" ht="21" customHeight="1">
      <c r="A88" s="1"/>
      <c r="B88" s="17" t="s">
        <v>125</v>
      </c>
      <c r="C88" s="18">
        <v>28</v>
      </c>
      <c r="D88" s="1" t="s">
        <v>42</v>
      </c>
      <c r="E88" s="19">
        <v>54.46</v>
      </c>
      <c r="F88" s="20" t="b">
        <v>1</v>
      </c>
      <c r="G88" s="1"/>
    </row>
    <row r="89" spans="1:7" ht="21" customHeight="1">
      <c r="A89" s="1"/>
      <c r="B89" s="17" t="s">
        <v>126</v>
      </c>
      <c r="C89" s="18">
        <v>28</v>
      </c>
      <c r="D89" s="1" t="s">
        <v>44</v>
      </c>
      <c r="E89" s="19">
        <v>65.33</v>
      </c>
      <c r="F89" s="20" t="b">
        <v>1</v>
      </c>
      <c r="G89" s="1"/>
    </row>
    <row r="90" spans="1:7" ht="21" customHeight="1">
      <c r="A90" s="1"/>
      <c r="B90" s="17" t="s">
        <v>127</v>
      </c>
      <c r="C90" s="18">
        <v>28</v>
      </c>
      <c r="D90" s="1" t="s">
        <v>46</v>
      </c>
      <c r="E90" s="19">
        <v>77.180000000000007</v>
      </c>
      <c r="F90" s="20" t="b">
        <v>1</v>
      </c>
      <c r="G90" s="1"/>
    </row>
    <row r="91" spans="1:7" ht="21" customHeight="1">
      <c r="A91" s="1"/>
      <c r="B91" s="1"/>
      <c r="C91" s="1"/>
      <c r="D91" s="1"/>
      <c r="E91" s="1"/>
      <c r="F91" s="1"/>
      <c r="G91" s="1"/>
    </row>
    <row r="92" spans="1:7" ht="21" customHeight="1">
      <c r="A92" s="1"/>
      <c r="B92" s="1"/>
      <c r="C92" s="1"/>
      <c r="D92" s="1"/>
      <c r="E92" s="1"/>
      <c r="F92" s="1"/>
      <c r="G9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Research</vt:lpstr>
      <vt:lpstr>Observations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James Thompson</cp:lastModifiedBy>
  <dcterms:created xsi:type="dcterms:W3CDTF">2026-10-26T16:17:35Z</dcterms:created>
  <dcterms:modified xsi:type="dcterms:W3CDTF">2026-10-26T16:17:35Z</dcterms:modified>
</cp:coreProperties>
</file>