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mes\github.com\jamtho\xlduck\outputs\01a16b0a-0074-7383-ba33-19bcf4c27b0f\"/>
    </mc:Choice>
  </mc:AlternateContent>
  <xr:revisionPtr revIDLastSave="0" documentId="13_ncr:1_{7A262415-43ED-42BB-85D2-1D8012AEE2F2}" xr6:coauthVersionLast="47" xr6:coauthVersionMax="47" xr10:uidLastSave="{00000000-0000-0000-0000-000000000000}"/>
  <bookViews>
    <workbookView xWindow="1830" yWindow="1830" windowWidth="9666" windowHeight="10278" xr2:uid="{00000000-000D-0000-FFFF-FFFF00000000}"/>
  </bookViews>
  <sheets>
    <sheet name="Research" sheetId="1" r:id="rId1"/>
    <sheet name="Quer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 a="1"/>
  <c r="E6" i="1" a="1"/>
  <c r="E18" i="1" a="1"/>
  <c r="C12" i="1" a="1"/>
  <c r="C13" i="1" a="1"/>
  <c r="C18" i="2" a="1"/>
  <c r="C14" i="2" a="1"/>
  <c r="C26" i="2" a="1"/>
  <c r="C22" i="2" a="1"/>
  <c r="C10" i="2" a="1"/>
  <c r="F11" i="1" a="1"/>
  <c r="C6" i="2" a="1"/>
  <c r="C11" i="1" l="1"/>
  <c r="C10" i="1"/>
  <c r="C1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<sst xmlns="http://schemas.openxmlformats.org/spreadsheetml/2006/main" count="53" uniqueCount="48">
  <si>
    <t>Enron research</t>
  </si>
  <si>
    <t>Hetzdev S3 source. Counts include mailbox copies. Dates and year boundaries use UTC.</t>
  </si>
  <si>
    <t>Parquet source</t>
  </si>
  <si>
    <t>s3://enron-emails/eml_messages.parquet</t>
  </si>
  <si>
    <t>Year</t>
  </si>
  <si>
    <t>Subject contains</t>
  </si>
  <si>
    <t>california</t>
  </si>
  <si>
    <t>Sender (exact)</t>
  </si>
  <si>
    <t>All</t>
  </si>
  <si>
    <t>Amber cells are editable. Use All to remove either text filter.</t>
  </si>
  <si>
    <t>Loaded year</t>
  </si>
  <si>
    <t>Filtered records</t>
  </si>
  <si>
    <t>Loaded records</t>
  </si>
  <si>
    <t>Monthly chart</t>
  </si>
  <si>
    <t>Top senders chart</t>
  </si>
  <si>
    <t>Text filters reuse the loaded year.</t>
  </si>
  <si>
    <t>First 25 records</t>
  </si>
  <si>
    <t>Changing the year reads S3 again.</t>
  </si>
  <si>
    <t>Select a handle above, then press Ctrl+Shift+P to open its preview.</t>
  </si>
  <si>
    <t>Monthly activity</t>
  </si>
  <si>
    <t>Top ten senders</t>
  </si>
  <si>
    <t>Edit SQL on Queries. Each SQL cell is followed by the DuckQuery formula that runs it.</t>
  </si>
  <si>
    <t>Try energy as the subject filter, or copy a sender from the table into C8.</t>
  </si>
  <si>
    <t>The year table keeps five metadata columns. Email bodies stay in the source.</t>
  </si>
  <si>
    <t>Opening this workbook reloads data. F9 reuses unchanged results. Restart workbook refreshes S3.</t>
  </si>
  <si>
    <t>Connections are saved locally for this file. Keys are in Windows Credential Manager.</t>
  </si>
  <si>
    <t>A copy at a new path needs its connection set in XlDuck &gt; Connections. Hetzdev must be reachable.</t>
  </si>
  <si>
    <t>SQL and retained results</t>
  </si>
  <si>
    <t>SQL is ordinary cell text. Parameters below bind values and table handles in question-mark order.</t>
  </si>
  <si>
    <t>1. Load a year</t>
  </si>
  <si>
    <t>SELECT timezone('UTC', date) AS sent_at,
       lower(coalesce(nullif(trim(from_email), ''),
                      nullif(trim(from_name), ''), '(unknown)')) AS sender,
       coalesce(subject_clean, subject, '') AS subject,
       custodian, coalesce(is_reply, false) AS is_reply
FROM read_parquet(?)
WHERE date &gt;= CAST(? AS TIMESTAMPTZ) AND date &lt; CAST(? AS TIMESTAMPTZ)</t>
  </si>
  <si>
    <t>Result handle</t>
  </si>
  <si>
    <t>Only this query reads S3. There is no row cap on the selected year.</t>
  </si>
  <si>
    <t>2. Filter the year</t>
  </si>
  <si>
    <t>SELECT * FROM ?
WHERE (? = 'All' OR contains(lower(subject), lower(?)))
  AND (? = 'All' OR sender = lower(?))</t>
  </si>
  <si>
    <t>Both filters use the same retained table. Subject matching is a literal, case-insensitive substring.</t>
  </si>
  <si>
    <t>3. Summarise</t>
  </si>
  <si>
    <t>SELECT 'Matching records' AS Metric, count(*)::DOUBLE AS Value FROM ?
UNION ALL
SELECT 'Sender identifiers', count(DISTINCT sender)::DOUBLE FROM ?
UNION ALL
SELECT 'Reply share', avg(is_reply::INTEGER) FROM ?</t>
  </si>
  <si>
    <t>Counts include duplicates. Reply share uses the source is_reply flag; empty selections leave it blank.</t>
  </si>
  <si>
    <t>4. Monthly activity</t>
  </si>
  <si>
    <t>SELECT date_trunc('month', sent_at)::DATE AS Month,
       count(*) AS Records
FROM ? GROUP BY 1 ORDER BY 1</t>
  </si>
  <si>
    <t>Months with no matching records are omitted.</t>
  </si>
  <si>
    <t>5. Rank senders</t>
  </si>
  <si>
    <t>SELECT sender AS Sender, count(*) AS Records
FROM ? GROUP BY 1
ORDER BY Records DESC, Sender LIMIT 10</t>
  </si>
  <si>
    <t>Senders use email, then display name. These identifiers are not deduplicated people.</t>
  </si>
  <si>
    <t>6. Inspect records</t>
  </si>
  <si>
    <t>SELECT sent_at, sender, subject, custodian, is_reply
FROM ? ORDER BY sent_at, sender, subject, custodian
LIMIT 25</t>
  </si>
  <si>
    <t>This is the earliest 25 matching records, not a random sample. Times are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</si>
</sst>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0.0%"/>
  </numFmts>
  <fonts count="8">
    <font>
      <sz val="11"/>
      <name val="Carlito"/>
    </font>
    <font>
      <sz val="11"/>
      <color rgb="FF273549"/>
      <name val="Arial"/>
    </font>
    <font>
      <b/>
      <sz val="17"/>
      <color rgb="FF28466B"/>
      <name val="Arial"/>
    </font>
    <font>
      <sz val="11"/>
      <color rgb="FF647184"/>
      <name val="Arial"/>
    </font>
    <font>
      <b/>
      <sz val="11"/>
      <color rgb="FF273549"/>
      <name val="Arial"/>
    </font>
    <font>
      <b/>
      <sz val="11"/>
      <color rgb="FFFFFFFF"/>
      <name val="Arial"/>
    </font>
    <font>
      <sz val="10"/>
      <color rgb="FF647184"/>
      <name val="Arial"/>
    </font>
    <font>
      <sz val="11"/>
      <color rgb="FF28466B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0B3"/>
      </patternFill>
    </fill>
    <fill>
      <patternFill patternType="solid">
        <fgColor rgb="FF28466B"/>
      </patternFill>
    </fill>
    <fill>
      <patternFill patternType="solid">
        <fgColor rgb="FFF5F7FA"/>
      </patternFill>
    </fill>
    <fill>
      <patternFill patternType="solid">
        <fgColor rgb="FFEDF2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CAD4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4" borderId="0" xfId="0" applyFont="1" applyFill="1" applyAlignment="1">
      <alignment vertical="top" wrapText="1"/>
    </xf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8466B"/>
  </sheetPr>
  <dimension ref="A1:G39"/>
  <sheetViews>
    <sheetView showGridLines="0" tabSelected="1" topLeftCell="C1" zoomScale="90" zoomScaleNormal="90" workbookViewId="0">
      <selection activeCell="C12" sqref="C12"/>
    </sheetView>
  </sheetViews>
  <sheetFormatPr defaultRowHeight="13.8"/>
  <cols>
    <col min="1" max="1" width="3" customWidth="1"/>
    <col min="2" max="2" width="24" customWidth="1"/>
    <col min="3" max="3" width="47" customWidth="1"/>
    <col min="4" max="4" width="3" customWidth="1"/>
    <col min="5" max="5" width="46" customWidth="1"/>
    <col min="6" max="6" width="16" customWidth="1"/>
    <col min="7" max="7" width="3" customWidth="1"/>
  </cols>
  <sheetData>
    <row r="1" spans="1:7" ht="23.05" customHeight="1">
      <c r="A1" s="1"/>
      <c r="B1" s="1"/>
      <c r="C1" s="1"/>
      <c r="D1" s="1"/>
      <c r="E1" s="1"/>
      <c r="F1" s="1"/>
      <c r="G1" s="1"/>
    </row>
    <row r="2" spans="1:7" ht="32.049999999999997" customHeight="1">
      <c r="A2" s="1"/>
      <c r="B2" s="2" t="s">
        <v>0</v>
      </c>
      <c r="C2" s="1"/>
      <c r="D2" s="1"/>
      <c r="E2" s="1"/>
      <c r="F2" s="1"/>
      <c r="G2" s="1"/>
    </row>
    <row r="3" spans="1:7" ht="8.0500000000000007" customHeight="1">
      <c r="A3" s="1"/>
      <c r="B3" s="3"/>
      <c r="C3" s="3"/>
      <c r="D3" s="3"/>
      <c r="E3" s="3"/>
      <c r="F3" s="3"/>
      <c r="G3" s="1"/>
    </row>
    <row r="4" spans="1:7" ht="23.05" customHeight="1">
      <c r="A4" s="1"/>
      <c r="B4" s="4" t="s">
        <v>1</v>
      </c>
      <c r="C4" s="1"/>
      <c r="D4" s="1"/>
      <c r="E4" s="1"/>
      <c r="F4" s="1"/>
      <c r="G4" s="1"/>
    </row>
    <row r="5" spans="1:7" ht="23.05" customHeight="1">
      <c r="A5" s="1"/>
      <c r="B5" s="1" t="s">
        <v>2</v>
      </c>
      <c r="C5" s="5" t="s">
        <v>3</v>
      </c>
      <c r="D5" s="1"/>
      <c r="E5" s="1"/>
      <c r="F5" s="1"/>
      <c r="G5" s="1"/>
    </row>
    <row r="6" spans="1:7" ht="23.05" customHeight="1">
      <c r="A6" s="1"/>
      <c r="B6" s="1" t="s">
        <v>4</v>
      </c>
      <c r="C6" s="6">
        <v>2001</v>
      </c>
      <c r="D6" s="1"/>
      <c r="E6" s="9" t="str" cm="1">
        <f t="array" ref="E6:F9">_xll.DuckOut(Queries!C14)</f>
        <v>Metric</v>
      </c>
      <c r="F6" s="9" t="str">
        <v>Value</v>
      </c>
      <c r="G6" s="1"/>
    </row>
    <row r="7" spans="1:7" ht="23.05" customHeight="1">
      <c r="A7" s="1"/>
      <c r="B7" s="1" t="s">
        <v>5</v>
      </c>
      <c r="C7" s="7" t="s">
        <v>6</v>
      </c>
      <c r="D7" s="1"/>
      <c r="E7" s="1" t="str">
        <v>Matching records</v>
      </c>
      <c r="F7" s="11">
        <v>7484</v>
      </c>
      <c r="G7" s="1"/>
    </row>
    <row r="8" spans="1:7" ht="23.05" customHeight="1">
      <c r="A8" s="1"/>
      <c r="B8" s="1" t="s">
        <v>7</v>
      </c>
      <c r="C8" s="7" t="s">
        <v>8</v>
      </c>
      <c r="D8" s="1"/>
      <c r="E8" s="1" t="str">
        <v>Sender identifiers</v>
      </c>
      <c r="F8" s="11">
        <v>272</v>
      </c>
      <c r="G8" s="1"/>
    </row>
    <row r="9" spans="1:7" ht="23.05" customHeight="1">
      <c r="A9" s="1"/>
      <c r="B9" s="4" t="s">
        <v>9</v>
      </c>
      <c r="C9" s="1"/>
      <c r="D9" s="1"/>
      <c r="E9" s="1" t="str">
        <v>Reply share</v>
      </c>
      <c r="F9" s="12">
        <v>0.2164617851416355</v>
      </c>
      <c r="G9" s="1"/>
    </row>
    <row r="10" spans="1:7" ht="23.05" customHeight="1">
      <c r="A10" s="1"/>
      <c r="B10" s="1" t="s">
        <v>10</v>
      </c>
      <c r="C10" s="15" t="str">
        <f>Queries!C6</f>
        <v>xlduck://table/dmAmsAQgF0aeli4TyIfEuA</v>
      </c>
      <c r="D10" s="1"/>
      <c r="E10" s="1"/>
      <c r="F10" s="1"/>
      <c r="G10" s="1"/>
    </row>
    <row r="11" spans="1:7" ht="23.05" customHeight="1">
      <c r="A11" s="1"/>
      <c r="B11" s="1" t="s">
        <v>11</v>
      </c>
      <c r="C11" s="15" t="str">
        <f>Queries!C10</f>
        <v>xlduck://table/W03CGVy94k6GBJwMgdHH-w</v>
      </c>
      <c r="D11" s="1"/>
      <c r="E11" s="4" t="s">
        <v>12</v>
      </c>
      <c r="F11" s="11" cm="1">
        <f t="array" ref="F11">_xll.DuckInspect(Queries!C6,"rows")</f>
        <v>484395</v>
      </c>
      <c r="G11" s="1"/>
    </row>
    <row r="12" spans="1:7" ht="23.05" customHeight="1">
      <c r="A12" s="1"/>
      <c r="B12" s="1" t="s">
        <v>13</v>
      </c>
      <c r="C12" s="15" t="str" cm="1">
        <f t="array" ref="C12">_xll.DuckPlot(Queries!C18,"line","x","Month","y","Records","title","Monthly mail records (UTC)")</f>
        <v>xlduck://plot/RtCnY3MiRE6GYAOpDUrgxg</v>
      </c>
      <c r="D12" s="1"/>
      <c r="E12" s="1"/>
      <c r="F12" s="1"/>
      <c r="G12" s="1"/>
    </row>
    <row r="13" spans="1:7" ht="23.05" customHeight="1">
      <c r="A13" s="1"/>
      <c r="B13" s="1" t="s">
        <v>14</v>
      </c>
      <c r="C13" s="15" t="str" cm="1">
        <f t="array" ref="C13">_xll.DuckPlot(Queries!C22,"bar","x","Sender","y","Records","title","Top senders by mail records")</f>
        <v>xlduck://plot/iEGoROkAAkWY5vRLWaCKcg</v>
      </c>
      <c r="D13" s="1"/>
      <c r="E13" s="4" t="s">
        <v>15</v>
      </c>
      <c r="F13" s="1"/>
      <c r="G13" s="1"/>
    </row>
    <row r="14" spans="1:7" ht="23.05" customHeight="1">
      <c r="A14" s="1"/>
      <c r="B14" s="1" t="s">
        <v>16</v>
      </c>
      <c r="C14" s="15" t="str">
        <f>Queries!C26</f>
        <v>xlduck://table/fho1S3NkzEaU35udmpshVA</v>
      </c>
      <c r="D14" s="1"/>
      <c r="E14" s="4" t="s">
        <v>17</v>
      </c>
      <c r="F14" s="1"/>
      <c r="G14" s="1"/>
    </row>
    <row r="15" spans="1:7" ht="23.05" customHeight="1">
      <c r="A15" s="1"/>
      <c r="B15" s="4" t="s">
        <v>18</v>
      </c>
      <c r="C15" s="1"/>
      <c r="D15" s="1"/>
      <c r="E15" s="1"/>
      <c r="F15" s="1"/>
      <c r="G15" s="1"/>
    </row>
    <row r="16" spans="1:7" ht="23.05" customHeight="1">
      <c r="A16" s="1"/>
      <c r="B16" s="1"/>
      <c r="C16" s="1"/>
      <c r="D16" s="1"/>
      <c r="E16" s="1"/>
      <c r="F16" s="1"/>
      <c r="G16" s="1"/>
    </row>
    <row r="17" spans="1:7" ht="23.05" customHeight="1">
      <c r="A17" s="1"/>
      <c r="B17" s="8" t="s">
        <v>19</v>
      </c>
      <c r="C17" s="8"/>
      <c r="D17" s="8"/>
      <c r="E17" s="8" t="s">
        <v>20</v>
      </c>
      <c r="F17" s="8"/>
      <c r="G17" s="1"/>
    </row>
    <row r="18" spans="1:7" ht="23.05" customHeight="1">
      <c r="A18" s="1"/>
      <c r="B18" s="9" t="str" cm="1">
        <f t="array" ref="B18:C30">_xll.DuckOut(Queries!C18)</f>
        <v>Month</v>
      </c>
      <c r="C18" s="9" t="str">
        <v>Records</v>
      </c>
      <c r="D18" s="1"/>
      <c r="E18" s="9" t="str" cm="1">
        <f t="array" ref="E18:F28">_xll.DuckOut(Queries!C22)</f>
        <v>Sender</v>
      </c>
      <c r="F18" s="9" t="str">
        <v>Records</v>
      </c>
      <c r="G18" s="1"/>
    </row>
    <row r="19" spans="1:7" ht="23.05" customHeight="1">
      <c r="A19" s="1"/>
      <c r="B19" s="10">
        <v>36892</v>
      </c>
      <c r="C19" s="11">
        <v>1354</v>
      </c>
      <c r="D19" s="1"/>
      <c r="E19" s="1" t="str">
        <v>jeff dasovich</v>
      </c>
      <c r="F19" s="11">
        <v>1685</v>
      </c>
      <c r="G19" s="1"/>
    </row>
    <row r="20" spans="1:7" ht="23.05" customHeight="1">
      <c r="A20" s="1"/>
      <c r="B20" s="10">
        <v>36923</v>
      </c>
      <c r="C20" s="11">
        <v>932</v>
      </c>
      <c r="D20" s="1"/>
      <c r="E20" s="1" t="str">
        <v>steven j kean</v>
      </c>
      <c r="F20" s="11">
        <v>740</v>
      </c>
      <c r="G20" s="1"/>
    </row>
    <row r="21" spans="1:7" ht="23.05" customHeight="1">
      <c r="A21" s="1"/>
      <c r="B21" s="10">
        <v>36951</v>
      </c>
      <c r="C21" s="11">
        <v>1075</v>
      </c>
      <c r="D21" s="1"/>
      <c r="E21" s="1" t="str">
        <v>maureen mcvicker</v>
      </c>
      <c r="F21" s="11">
        <v>717</v>
      </c>
      <c r="G21" s="1"/>
    </row>
    <row r="22" spans="1:7" ht="23.05" customHeight="1">
      <c r="A22" s="1"/>
      <c r="B22" s="10">
        <v>36982</v>
      </c>
      <c r="C22" s="11">
        <v>1062</v>
      </c>
      <c r="D22" s="1"/>
      <c r="E22" s="1" t="str">
        <v>kristin walsh</v>
      </c>
      <c r="F22" s="11">
        <v>441</v>
      </c>
      <c r="G22" s="1"/>
    </row>
    <row r="23" spans="1:7" ht="23.05" customHeight="1">
      <c r="A23" s="1"/>
      <c r="B23" s="10">
        <v>37012</v>
      </c>
      <c r="C23" s="11">
        <v>1366</v>
      </c>
      <c r="D23" s="1"/>
      <c r="E23" s="1" t="str">
        <v>james d steffes</v>
      </c>
      <c r="F23" s="11">
        <v>256</v>
      </c>
      <c r="G23" s="1"/>
    </row>
    <row r="24" spans="1:7" ht="23.05" customHeight="1">
      <c r="A24" s="1"/>
      <c r="B24" s="10">
        <v>37043</v>
      </c>
      <c r="C24" s="11">
        <v>514</v>
      </c>
      <c r="D24" s="1"/>
      <c r="E24" s="1" t="str">
        <v>ginger dernehl</v>
      </c>
      <c r="F24" s="11">
        <v>208</v>
      </c>
      <c r="G24" s="1"/>
    </row>
    <row r="25" spans="1:7" ht="23.05" customHeight="1">
      <c r="A25" s="1"/>
      <c r="B25" s="10">
        <v>37073</v>
      </c>
      <c r="C25" s="11">
        <v>516</v>
      </c>
      <c r="D25" s="1"/>
      <c r="E25" s="1" t="str">
        <v>richard shapiro</v>
      </c>
      <c r="F25" s="11">
        <v>123</v>
      </c>
      <c r="G25" s="1"/>
    </row>
    <row r="26" spans="1:7" ht="23.05" customHeight="1">
      <c r="A26" s="1"/>
      <c r="B26" s="10">
        <v>37104</v>
      </c>
      <c r="C26" s="11">
        <v>132</v>
      </c>
      <c r="D26" s="1"/>
      <c r="E26" s="1" t="str">
        <v>janel guerrero</v>
      </c>
      <c r="F26" s="11">
        <v>92</v>
      </c>
      <c r="G26" s="1"/>
    </row>
    <row r="27" spans="1:7" ht="23.05" customHeight="1">
      <c r="A27" s="1"/>
      <c r="B27" s="10">
        <v>37135</v>
      </c>
      <c r="C27" s="11">
        <v>189</v>
      </c>
      <c r="D27" s="1"/>
      <c r="E27" s="1" t="str">
        <v>lysa akin</v>
      </c>
      <c r="F27" s="11">
        <v>90</v>
      </c>
      <c r="G27" s="1"/>
    </row>
    <row r="28" spans="1:7" ht="23.05" customHeight="1">
      <c r="A28" s="1"/>
      <c r="B28" s="10">
        <v>37165</v>
      </c>
      <c r="C28" s="11">
        <v>168</v>
      </c>
      <c r="D28" s="1"/>
      <c r="E28" s="1" t="str">
        <v>karen denne</v>
      </c>
      <c r="F28" s="11">
        <v>78</v>
      </c>
      <c r="G28" s="1"/>
    </row>
    <row r="29" spans="1:7" ht="23.05" customHeight="1">
      <c r="A29" s="1"/>
      <c r="B29" s="10">
        <v>37196</v>
      </c>
      <c r="C29" s="11">
        <v>105</v>
      </c>
      <c r="D29" s="1"/>
      <c r="E29" s="1"/>
      <c r="F29" s="1"/>
      <c r="G29" s="1"/>
    </row>
    <row r="30" spans="1:7" ht="23.05" customHeight="1">
      <c r="A30" s="1"/>
      <c r="B30" s="10">
        <v>37226</v>
      </c>
      <c r="C30" s="11">
        <v>71</v>
      </c>
      <c r="D30" s="1"/>
      <c r="E30" s="1"/>
      <c r="F30" s="1"/>
      <c r="G30" s="1"/>
    </row>
    <row r="31" spans="1:7" ht="23.05" customHeight="1">
      <c r="A31" s="1"/>
      <c r="B31" s="1"/>
      <c r="C31" s="1"/>
      <c r="D31" s="1"/>
      <c r="E31" s="1"/>
      <c r="F31" s="1"/>
      <c r="G31" s="1"/>
    </row>
    <row r="32" spans="1:7" ht="23.05" customHeight="1">
      <c r="A32" s="1"/>
      <c r="B32" s="1"/>
      <c r="C32" s="1"/>
      <c r="D32" s="1"/>
      <c r="E32" s="1"/>
      <c r="F32" s="1"/>
      <c r="G32" s="1"/>
    </row>
    <row r="33" spans="1:7" ht="23.05" customHeight="1">
      <c r="A33" s="1"/>
      <c r="B33" s="4" t="s">
        <v>21</v>
      </c>
      <c r="C33" s="1"/>
      <c r="D33" s="1"/>
      <c r="E33" s="1"/>
      <c r="F33" s="1"/>
      <c r="G33" s="1"/>
    </row>
    <row r="34" spans="1:7" ht="23.05" customHeight="1">
      <c r="A34" s="1"/>
      <c r="B34" s="4" t="s">
        <v>22</v>
      </c>
      <c r="C34" s="1"/>
      <c r="D34" s="1"/>
      <c r="E34" s="1"/>
      <c r="F34" s="1"/>
      <c r="G34" s="1"/>
    </row>
    <row r="35" spans="1:7" ht="23.05" customHeight="1">
      <c r="A35" s="1"/>
      <c r="B35" s="4" t="s">
        <v>23</v>
      </c>
      <c r="C35" s="1"/>
      <c r="D35" s="1"/>
      <c r="E35" s="1"/>
      <c r="F35" s="1"/>
      <c r="G35" s="1"/>
    </row>
    <row r="36" spans="1:7" ht="23.05" customHeight="1">
      <c r="A36" s="1"/>
      <c r="B36" s="4" t="s">
        <v>24</v>
      </c>
      <c r="C36" s="1"/>
      <c r="D36" s="1"/>
      <c r="E36" s="1"/>
      <c r="F36" s="1"/>
      <c r="G36" s="1"/>
    </row>
    <row r="37" spans="1:7" ht="23.05" customHeight="1">
      <c r="A37" s="1"/>
      <c r="B37" s="4" t="s">
        <v>25</v>
      </c>
      <c r="C37" s="1"/>
      <c r="D37" s="1"/>
      <c r="E37" s="1"/>
      <c r="F37" s="1"/>
      <c r="G37" s="1"/>
    </row>
    <row r="38" spans="1:7" ht="23.05" customHeight="1">
      <c r="A38" s="1"/>
      <c r="B38" s="4" t="s">
        <v>26</v>
      </c>
      <c r="C38" s="1"/>
      <c r="D38" s="1"/>
      <c r="E38" s="1"/>
      <c r="F38" s="1"/>
      <c r="G38" s="1"/>
    </row>
    <row r="39" spans="1:7" ht="23.05" customHeight="1">
      <c r="A39" s="1"/>
      <c r="B39" s="1"/>
      <c r="C39" s="1"/>
      <c r="D39" s="1"/>
      <c r="E39" s="1"/>
      <c r="F39" s="1"/>
      <c r="G39" s="1"/>
    </row>
  </sheetData>
  <dataValidations count="1">
    <dataValidation type="whole" sqref="C6" xr:uid="{00000000-0002-0000-0000-000000000000}">
      <formula1>1900</formula1>
      <formula2>2100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A6BF"/>
  </sheetPr>
  <dimension ref="A1:D29"/>
  <sheetViews>
    <sheetView showGridLines="0" workbookViewId="0"/>
  </sheetViews>
  <sheetFormatPr defaultRowHeight="13.8"/>
  <cols>
    <col min="1" max="1" width="3" customWidth="1"/>
    <col min="2" max="2" width="24" customWidth="1"/>
    <col min="3" max="3" width="112" customWidth="1"/>
    <col min="4" max="4" width="3" customWidth="1"/>
  </cols>
  <sheetData>
    <row r="1" spans="1:4" ht="23.05" customHeight="1">
      <c r="A1" s="1"/>
      <c r="B1" s="1"/>
      <c r="C1" s="1"/>
      <c r="D1" s="1"/>
    </row>
    <row r="2" spans="1:4" ht="32.049999999999997" customHeight="1">
      <c r="A2" s="1"/>
      <c r="B2" s="2" t="s">
        <v>27</v>
      </c>
      <c r="C2" s="1"/>
      <c r="D2" s="1"/>
    </row>
    <row r="3" spans="1:4" ht="23.05" customHeight="1">
      <c r="A3" s="1"/>
      <c r="B3" s="4" t="s">
        <v>28</v>
      </c>
      <c r="C3" s="1"/>
      <c r="D3" s="1"/>
    </row>
    <row r="4" spans="1:4" ht="23.05" customHeight="1">
      <c r="A4" s="1"/>
      <c r="B4" s="1"/>
      <c r="C4" s="1"/>
      <c r="D4" s="1"/>
    </row>
    <row r="5" spans="1:4" ht="131.05000000000001" customHeight="1">
      <c r="A5" s="1"/>
      <c r="B5" s="8" t="s">
        <v>29</v>
      </c>
      <c r="C5" s="13" t="s">
        <v>30</v>
      </c>
      <c r="D5" s="1"/>
    </row>
    <row r="6" spans="1:4" ht="23.05" customHeight="1">
      <c r="A6" s="1"/>
      <c r="B6" s="1" t="s">
        <v>31</v>
      </c>
      <c r="C6" s="15" t="str" cm="1">
        <f t="array" ref="C6">_xll.DuckQuery(C5,Research!C5,Research!C6&amp;"-01-01 00:00:00+00",(Research!C6+1)&amp;"-01-01 00:00:00+00")</f>
        <v>xlduck://table/dmAmsAQgF0aeli4TyIfEuA</v>
      </c>
      <c r="D6" s="1"/>
    </row>
    <row r="7" spans="1:4" ht="23.05" customHeight="1">
      <c r="A7" s="1"/>
      <c r="B7" s="1"/>
      <c r="C7" s="14" t="s">
        <v>32</v>
      </c>
      <c r="D7" s="1"/>
    </row>
    <row r="8" spans="1:4" ht="23.05" customHeight="1">
      <c r="A8" s="1"/>
      <c r="B8" s="1"/>
      <c r="C8" s="1"/>
      <c r="D8" s="1"/>
    </row>
    <row r="9" spans="1:4" ht="63" customHeight="1">
      <c r="A9" s="1"/>
      <c r="B9" s="8" t="s">
        <v>33</v>
      </c>
      <c r="C9" s="13" t="s">
        <v>34</v>
      </c>
      <c r="D9" s="1"/>
    </row>
    <row r="10" spans="1:4" ht="23.05" customHeight="1">
      <c r="A10" s="1"/>
      <c r="B10" s="1" t="s">
        <v>31</v>
      </c>
      <c r="C10" s="15" t="str" cm="1">
        <f t="array" ref="C10">_xll.DuckQuery(C9,C6,Research!C7,Research!C7,Research!C8,Research!C8)</f>
        <v>xlduck://table/W03CGVy94k6GBJwMgdHH-w</v>
      </c>
      <c r="D10" s="1"/>
    </row>
    <row r="11" spans="1:4" ht="23.05" customHeight="1">
      <c r="A11" s="1"/>
      <c r="B11" s="1"/>
      <c r="C11" s="14" t="s">
        <v>35</v>
      </c>
      <c r="D11" s="1"/>
    </row>
    <row r="12" spans="1:4" ht="23.05" customHeight="1">
      <c r="A12" s="1"/>
      <c r="B12" s="1"/>
      <c r="C12" s="1"/>
      <c r="D12" s="1"/>
    </row>
    <row r="13" spans="1:4" ht="97" customHeight="1">
      <c r="A13" s="1"/>
      <c r="B13" s="8" t="s">
        <v>36</v>
      </c>
      <c r="C13" s="13" t="s">
        <v>37</v>
      </c>
      <c r="D13" s="1"/>
    </row>
    <row r="14" spans="1:4" ht="23.05" customHeight="1">
      <c r="A14" s="1"/>
      <c r="B14" s="1" t="s">
        <v>31</v>
      </c>
      <c r="C14" s="15" t="str" cm="1">
        <f t="array" ref="C14">_xll.DuckQuery(C13,C10,C10,C10)</f>
        <v>xlduck://table/K8MffwJsUE6uiWPo087Azw</v>
      </c>
      <c r="D14" s="1"/>
    </row>
    <row r="15" spans="1:4" ht="23.05" customHeight="1">
      <c r="A15" s="1"/>
      <c r="B15" s="1"/>
      <c r="C15" s="14" t="s">
        <v>38</v>
      </c>
      <c r="D15" s="1"/>
    </row>
    <row r="16" spans="1:4" ht="23.05" customHeight="1">
      <c r="A16" s="1"/>
      <c r="B16" s="1"/>
      <c r="C16" s="1"/>
      <c r="D16" s="1"/>
    </row>
    <row r="17" spans="1:4" ht="63" customHeight="1">
      <c r="A17" s="1"/>
      <c r="B17" s="8" t="s">
        <v>39</v>
      </c>
      <c r="C17" s="13" t="s">
        <v>40</v>
      </c>
      <c r="D17" s="1"/>
    </row>
    <row r="18" spans="1:4" ht="23.05" customHeight="1">
      <c r="A18" s="1"/>
      <c r="B18" s="1" t="s">
        <v>31</v>
      </c>
      <c r="C18" s="15" t="str" cm="1">
        <f t="array" ref="C18">_xll.DuckQuery(C17,C10)</f>
        <v>xlduck://table/YjLCaydX_EulBds7Y-S05g</v>
      </c>
      <c r="D18" s="1"/>
    </row>
    <row r="19" spans="1:4" ht="23.05" customHeight="1">
      <c r="A19" s="1"/>
      <c r="B19" s="1"/>
      <c r="C19" s="14" t="s">
        <v>41</v>
      </c>
      <c r="D19" s="1"/>
    </row>
    <row r="20" spans="1:4" ht="23.05" customHeight="1">
      <c r="A20" s="1"/>
      <c r="B20" s="1"/>
      <c r="C20" s="1"/>
      <c r="D20" s="1"/>
    </row>
    <row r="21" spans="1:4" ht="63" customHeight="1">
      <c r="A21" s="1"/>
      <c r="B21" s="8" t="s">
        <v>42</v>
      </c>
      <c r="C21" s="13" t="s">
        <v>43</v>
      </c>
      <c r="D21" s="1"/>
    </row>
    <row r="22" spans="1:4" ht="23.05" customHeight="1">
      <c r="A22" s="1"/>
      <c r="B22" s="1" t="s">
        <v>31</v>
      </c>
      <c r="C22" s="15" t="str" cm="1">
        <f t="array" ref="C22">_xll.DuckQuery(C21,C10)</f>
        <v>xlduck://table/0ymIU-IBrkaR3wFubbHdpw</v>
      </c>
      <c r="D22" s="1"/>
    </row>
    <row r="23" spans="1:4" ht="23.05" customHeight="1">
      <c r="A23" s="1"/>
      <c r="B23" s="1"/>
      <c r="C23" s="14" t="s">
        <v>44</v>
      </c>
      <c r="D23" s="1"/>
    </row>
    <row r="24" spans="1:4" ht="23.05" customHeight="1">
      <c r="A24" s="1"/>
      <c r="B24" s="1"/>
      <c r="C24" s="1"/>
      <c r="D24" s="1"/>
    </row>
    <row r="25" spans="1:4" ht="63" customHeight="1">
      <c r="A25" s="1"/>
      <c r="B25" s="8" t="s">
        <v>45</v>
      </c>
      <c r="C25" s="13" t="s">
        <v>46</v>
      </c>
      <c r="D25" s="1"/>
    </row>
    <row r="26" spans="1:4" ht="23.05" customHeight="1">
      <c r="A26" s="1"/>
      <c r="B26" s="1" t="s">
        <v>31</v>
      </c>
      <c r="C26" s="15" t="str" cm="1">
        <f t="array" ref="C26">_xll.DuckQuery(C25,C10)</f>
        <v>xlduck://table/fho1S3NkzEaU35udmpshVA</v>
      </c>
      <c r="D26" s="1"/>
    </row>
    <row r="27" spans="1:4" ht="23.05" customHeight="1">
      <c r="A27" s="1"/>
      <c r="B27" s="1"/>
      <c r="C27" s="14" t="s">
        <v>47</v>
      </c>
      <c r="D27" s="1"/>
    </row>
    <row r="28" spans="1:4" ht="23.05" customHeight="1">
      <c r="A28" s="1"/>
      <c r="B28" s="1"/>
      <c r="C28" s="1"/>
      <c r="D28" s="1"/>
    </row>
    <row r="29" spans="1:4" ht="23.05" customHeight="1">
      <c r="A29" s="1"/>
      <c r="B29" s="1"/>
      <c r="C29" s="1"/>
      <c r="D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Research</vt:lpstr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Thompson</cp:lastModifiedBy>
  <dcterms:modified xsi:type="dcterms:W3CDTF">2026-10-25T10:48:19Z</dcterms:modified>
</cp:coreProperties>
</file>